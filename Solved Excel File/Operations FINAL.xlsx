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da9265fde409db/Desktop/operation/"/>
    </mc:Choice>
  </mc:AlternateContent>
  <xr:revisionPtr revIDLastSave="194" documentId="11_638B475EBEFEC58DF24D4193CBDA47860F01B301" xr6:coauthVersionLast="47" xr6:coauthVersionMax="47" xr10:uidLastSave="{CD91F70E-7F28-49E5-9F2D-3E8648A79E97}"/>
  <bookViews>
    <workbookView xWindow="-108" yWindow="-108" windowWidth="23256" windowHeight="12456" firstSheet="26" activeTab="32" xr2:uid="{00000000-000D-0000-FFFF-FFFF00000000}"/>
  </bookViews>
  <sheets>
    <sheet name="Answer Report P1" sheetId="1" r:id="rId1"/>
    <sheet name="Answer Report P2" sheetId="2" r:id="rId2"/>
    <sheet name="Answer Report P3" sheetId="3" r:id="rId3"/>
    <sheet name="Answer Report P4" sheetId="4" r:id="rId4"/>
    <sheet name="Answer Report P5" sheetId="5" r:id="rId5"/>
    <sheet name="Answer Report P6" sheetId="6" r:id="rId6"/>
    <sheet name="Answer Report P7" sheetId="7" r:id="rId7"/>
    <sheet name="Answer Report P8" sheetId="8" r:id="rId8"/>
    <sheet name="P1 Q1" sheetId="9" r:id="rId9"/>
    <sheet name="Answer Report 1" sheetId="10" r:id="rId10"/>
    <sheet name="Answer Report 2" sheetId="11" r:id="rId11"/>
    <sheet name="Answer Report 3" sheetId="12" r:id="rId12"/>
    <sheet name="Answer Report 4" sheetId="13" r:id="rId13"/>
    <sheet name="Answer Report 5" sheetId="14" r:id="rId14"/>
    <sheet name="Answer Report 6" sheetId="15" r:id="rId15"/>
    <sheet name="Answer Report 7" sheetId="16" r:id="rId16"/>
    <sheet name="Answer Report 8" sheetId="17" r:id="rId17"/>
    <sheet name="P1 Q4" sheetId="18" r:id="rId18"/>
    <sheet name="Answer P2 Q1" sheetId="19" r:id="rId19"/>
    <sheet name="Sensitivity P2 Q1" sheetId="20" r:id="rId20"/>
    <sheet name="P2 Q1" sheetId="21" r:id="rId21"/>
    <sheet name="Answer P2 Q2" sheetId="22" r:id="rId22"/>
    <sheet name="Sensitivity P2 Q2" sheetId="23" r:id="rId23"/>
    <sheet name="Feasibility Report 1" sheetId="24" r:id="rId24"/>
    <sheet name="P2 Q2" sheetId="25" r:id="rId25"/>
    <sheet name="Answer P2 Q3" sheetId="26" r:id="rId26"/>
    <sheet name="Sensitivity P2 Q3" sheetId="27" r:id="rId27"/>
    <sheet name="P2 Q3" sheetId="28" r:id="rId28"/>
    <sheet name="Answer P3 Q1" sheetId="29" r:id="rId29"/>
    <sheet name="P3 Q1" sheetId="30" r:id="rId30"/>
    <sheet name="Answer P3 Q2" sheetId="31" r:id="rId31"/>
    <sheet name="Sensitivity P3 Q2" sheetId="32" r:id="rId32"/>
    <sheet name="P3 Q2" sheetId="33" r:id="rId33"/>
  </sheets>
  <definedNames>
    <definedName name="solver_adj" localSheetId="8" hidden="1">'P1 Q1'!$B$12:$D$12</definedName>
    <definedName name="solver_adj" localSheetId="17" hidden="1">'P1 Q4'!$B$12:$F$12</definedName>
    <definedName name="solver_adj" localSheetId="20" hidden="1">'P2 Q1'!$B$8:$C$10</definedName>
    <definedName name="solver_adj" localSheetId="24" hidden="1">'P2 Q2'!$B$8:$C$10</definedName>
    <definedName name="solver_adj" localSheetId="27" hidden="1">'P2 Q3'!$B$8:$C$10</definedName>
    <definedName name="solver_adj" localSheetId="29" hidden="1">'P3 Q1'!$D$2:$D$17</definedName>
    <definedName name="solver_adj" localSheetId="32" hidden="1">'P3 Q2'!$D$2:$D$17</definedName>
    <definedName name="solver_cvg" localSheetId="8" hidden="1">0.0001</definedName>
    <definedName name="solver_cvg" localSheetId="17" hidden="1">0.0001</definedName>
    <definedName name="solver_cvg" localSheetId="20" hidden="1">0.0001</definedName>
    <definedName name="solver_cvg" localSheetId="24" hidden="1">0.0001</definedName>
    <definedName name="solver_cvg" localSheetId="27" hidden="1">0.0001</definedName>
    <definedName name="solver_cvg" localSheetId="29" hidden="1">0.0001</definedName>
    <definedName name="solver_cvg" localSheetId="32" hidden="1">0.0001</definedName>
    <definedName name="solver_drv" localSheetId="8" hidden="1">2</definedName>
    <definedName name="solver_drv" localSheetId="17" hidden="1">2</definedName>
    <definedName name="solver_drv" localSheetId="20" hidden="1">1</definedName>
    <definedName name="solver_drv" localSheetId="24" hidden="1">2</definedName>
    <definedName name="solver_drv" localSheetId="27" hidden="1">1</definedName>
    <definedName name="solver_drv" localSheetId="29" hidden="1">1</definedName>
    <definedName name="solver_drv" localSheetId="32" hidden="1">2</definedName>
    <definedName name="solver_eng" localSheetId="8" hidden="1">2</definedName>
    <definedName name="solver_eng" localSheetId="17" hidden="1">2</definedName>
    <definedName name="solver_eng" localSheetId="20" hidden="1">2</definedName>
    <definedName name="solver_eng" localSheetId="24" hidden="1">2</definedName>
    <definedName name="solver_eng" localSheetId="27" hidden="1">2</definedName>
    <definedName name="solver_eng" localSheetId="29" hidden="1">2</definedName>
    <definedName name="solver_eng" localSheetId="32" hidden="1">2</definedName>
    <definedName name="solver_est" localSheetId="8" hidden="1">1</definedName>
    <definedName name="solver_est" localSheetId="17" hidden="1">1</definedName>
    <definedName name="solver_est" localSheetId="20" hidden="1">1</definedName>
    <definedName name="solver_est" localSheetId="24" hidden="1">1</definedName>
    <definedName name="solver_est" localSheetId="27" hidden="1">1</definedName>
    <definedName name="solver_est" localSheetId="29" hidden="1">1</definedName>
    <definedName name="solver_est" localSheetId="32" hidden="1">1</definedName>
    <definedName name="solver_itr" localSheetId="8" hidden="1">2147483647</definedName>
    <definedName name="solver_itr" localSheetId="17" hidden="1">2147483647</definedName>
    <definedName name="solver_itr" localSheetId="20" hidden="1">2147483647</definedName>
    <definedName name="solver_itr" localSheetId="24" hidden="1">2147483647</definedName>
    <definedName name="solver_itr" localSheetId="27" hidden="1">2147483647</definedName>
    <definedName name="solver_itr" localSheetId="29" hidden="1">2147483647</definedName>
    <definedName name="solver_itr" localSheetId="32" hidden="1">2147483647</definedName>
    <definedName name="solver_lhs1" localSheetId="8" hidden="1">'P1 Q1'!$B$16</definedName>
    <definedName name="solver_lhs1" localSheetId="17" hidden="1">'P1 Q4'!$B$16</definedName>
    <definedName name="solver_lhs1" localSheetId="20" hidden="1">'P2 Q1'!$B$11:$C$11</definedName>
    <definedName name="solver_lhs1" localSheetId="24" hidden="1">'P2 Q2'!$B$11:$C$11</definedName>
    <definedName name="solver_lhs1" localSheetId="27" hidden="1">'P2 Q3'!$B$11:$C$11</definedName>
    <definedName name="solver_lhs1" localSheetId="29" hidden="1">'P3 Q1'!$D$2:$D$17</definedName>
    <definedName name="solver_lhs1" localSheetId="32" hidden="1">'P3 Q2'!$D$2:$D$17</definedName>
    <definedName name="solver_lhs2" localSheetId="8" hidden="1">'P1 Q1'!$G$2:$G$9</definedName>
    <definedName name="solver_lhs2" localSheetId="17" hidden="1">'P1 Q4'!$H$2:$H$9</definedName>
    <definedName name="solver_lhs2" localSheetId="20" hidden="1">'P2 Q1'!$D$8:$D$10</definedName>
    <definedName name="solver_lhs2" localSheetId="24" hidden="1">'P2 Q2'!$D$10</definedName>
    <definedName name="solver_lhs2" localSheetId="27" hidden="1">'P2 Q3'!$D$8:$D$10</definedName>
    <definedName name="solver_lhs2" localSheetId="29" hidden="1">'P3 Q1'!$D$2:$D$17</definedName>
    <definedName name="solver_lhs2" localSheetId="32" hidden="1">'P3 Q2'!$G$2:$G$11</definedName>
    <definedName name="solver_lhs3" localSheetId="24" hidden="1">'P2 Q2'!$D$8:$D$9</definedName>
    <definedName name="solver_lhs3" localSheetId="29" hidden="1">'P3 Q1'!$G$2:$G$13</definedName>
    <definedName name="solver_lhs4" localSheetId="24" hidden="1">'P2 Q2'!$D$8</definedName>
    <definedName name="solver_lhs5" localSheetId="24" hidden="1">'P2 Q2'!$D$9</definedName>
    <definedName name="solver_mip" localSheetId="8" hidden="1">2147483647</definedName>
    <definedName name="solver_mip" localSheetId="17" hidden="1">2147483647</definedName>
    <definedName name="solver_mip" localSheetId="20" hidden="1">2147483647</definedName>
    <definedName name="solver_mip" localSheetId="24" hidden="1">2147483647</definedName>
    <definedName name="solver_mip" localSheetId="27" hidden="1">2147483647</definedName>
    <definedName name="solver_mip" localSheetId="29" hidden="1">2147483647</definedName>
    <definedName name="solver_mip" localSheetId="32" hidden="1">2147483647</definedName>
    <definedName name="solver_mni" localSheetId="8" hidden="1">30</definedName>
    <definedName name="solver_mni" localSheetId="17" hidden="1">30</definedName>
    <definedName name="solver_mni" localSheetId="20" hidden="1">30</definedName>
    <definedName name="solver_mni" localSheetId="24" hidden="1">30</definedName>
    <definedName name="solver_mni" localSheetId="27" hidden="1">30</definedName>
    <definedName name="solver_mni" localSheetId="29" hidden="1">30</definedName>
    <definedName name="solver_mni" localSheetId="32" hidden="1">30</definedName>
    <definedName name="solver_mrt" localSheetId="8" hidden="1">0.075</definedName>
    <definedName name="solver_mrt" localSheetId="17" hidden="1">0.075</definedName>
    <definedName name="solver_mrt" localSheetId="20" hidden="1">0.075</definedName>
    <definedName name="solver_mrt" localSheetId="24" hidden="1">0.075</definedName>
    <definedName name="solver_mrt" localSheetId="27" hidden="1">0.075</definedName>
    <definedName name="solver_mrt" localSheetId="29" hidden="1">0.075</definedName>
    <definedName name="solver_mrt" localSheetId="32" hidden="1">0.075</definedName>
    <definedName name="solver_msl" localSheetId="8" hidden="1">2</definedName>
    <definedName name="solver_msl" localSheetId="17" hidden="1">2</definedName>
    <definedName name="solver_msl" localSheetId="20" hidden="1">2</definedName>
    <definedName name="solver_msl" localSheetId="24" hidden="1">2</definedName>
    <definedName name="solver_msl" localSheetId="27" hidden="1">2</definedName>
    <definedName name="solver_msl" localSheetId="29" hidden="1">2</definedName>
    <definedName name="solver_msl" localSheetId="32" hidden="1">2</definedName>
    <definedName name="solver_neg" localSheetId="8" hidden="1">1</definedName>
    <definedName name="solver_neg" localSheetId="17" hidden="1">1</definedName>
    <definedName name="solver_neg" localSheetId="20" hidden="1">1</definedName>
    <definedName name="solver_neg" localSheetId="24" hidden="1">1</definedName>
    <definedName name="solver_neg" localSheetId="27" hidden="1">1</definedName>
    <definedName name="solver_neg" localSheetId="29" hidden="1">1</definedName>
    <definedName name="solver_neg" localSheetId="32" hidden="1">1</definedName>
    <definedName name="solver_nod" localSheetId="8" hidden="1">2147483647</definedName>
    <definedName name="solver_nod" localSheetId="17" hidden="1">2147483647</definedName>
    <definedName name="solver_nod" localSheetId="20" hidden="1">2147483647</definedName>
    <definedName name="solver_nod" localSheetId="24" hidden="1">2147483647</definedName>
    <definedName name="solver_nod" localSheetId="27" hidden="1">2147483647</definedName>
    <definedName name="solver_nod" localSheetId="29" hidden="1">2147483647</definedName>
    <definedName name="solver_nod" localSheetId="32" hidden="1">2147483647</definedName>
    <definedName name="solver_num" localSheetId="8" hidden="1">2</definedName>
    <definedName name="solver_num" localSheetId="17" hidden="1">2</definedName>
    <definedName name="solver_num" localSheetId="20" hidden="1">2</definedName>
    <definedName name="solver_num" localSheetId="24" hidden="1">3</definedName>
    <definedName name="solver_num" localSheetId="27" hidden="1">2</definedName>
    <definedName name="solver_num" localSheetId="29" hidden="1">3</definedName>
    <definedName name="solver_num" localSheetId="32" hidden="1">2</definedName>
    <definedName name="solver_nwt" localSheetId="8" hidden="1">1</definedName>
    <definedName name="solver_nwt" localSheetId="17" hidden="1">1</definedName>
    <definedName name="solver_nwt" localSheetId="20" hidden="1">1</definedName>
    <definedName name="solver_nwt" localSheetId="24" hidden="1">1</definedName>
    <definedName name="solver_nwt" localSheetId="27" hidden="1">1</definedName>
    <definedName name="solver_nwt" localSheetId="29" hidden="1">1</definedName>
    <definedName name="solver_nwt" localSheetId="32" hidden="1">1</definedName>
    <definedName name="solver_opt" localSheetId="8" hidden="1">'P1 Q1'!$B$17</definedName>
    <definedName name="solver_opt" localSheetId="17" hidden="1">'P1 Q4'!$B$17</definedName>
    <definedName name="solver_opt" localSheetId="20" hidden="1">'P2 Q1'!$B$13</definedName>
    <definedName name="solver_opt" localSheetId="24" hidden="1">'P2 Q2'!$B$13</definedName>
    <definedName name="solver_opt" localSheetId="27" hidden="1">'P2 Q3'!$B$13</definedName>
    <definedName name="solver_opt" localSheetId="29" hidden="1">'P3 Q1'!$J$2</definedName>
    <definedName name="solver_opt" localSheetId="32" hidden="1">'P3 Q2'!$J$2</definedName>
    <definedName name="solver_pre" localSheetId="8" hidden="1">0.000001</definedName>
    <definedName name="solver_pre" localSheetId="17" hidden="1">0.000001</definedName>
    <definedName name="solver_pre" localSheetId="20" hidden="1">0.000001</definedName>
    <definedName name="solver_pre" localSheetId="24" hidden="1">0.000001</definedName>
    <definedName name="solver_pre" localSheetId="27" hidden="1">0.000001</definedName>
    <definedName name="solver_pre" localSheetId="29" hidden="1">0.000001</definedName>
    <definedName name="solver_pre" localSheetId="32" hidden="1">0.000001</definedName>
    <definedName name="solver_rbv" localSheetId="8" hidden="1">2</definedName>
    <definedName name="solver_rbv" localSheetId="17" hidden="1">2</definedName>
    <definedName name="solver_rbv" localSheetId="20" hidden="1">1</definedName>
    <definedName name="solver_rbv" localSheetId="24" hidden="1">2</definedName>
    <definedName name="solver_rbv" localSheetId="27" hidden="1">1</definedName>
    <definedName name="solver_rbv" localSheetId="29" hidden="1">1</definedName>
    <definedName name="solver_rbv" localSheetId="32" hidden="1">2</definedName>
    <definedName name="solver_rel1" localSheetId="8" hidden="1">2</definedName>
    <definedName name="solver_rel1" localSheetId="17" hidden="1">2</definedName>
    <definedName name="solver_rel1" localSheetId="20" hidden="1">2</definedName>
    <definedName name="solver_rel1" localSheetId="24" hidden="1">2</definedName>
    <definedName name="solver_rel1" localSheetId="27" hidden="1">2</definedName>
    <definedName name="solver_rel1" localSheetId="29" hidden="1">5</definedName>
    <definedName name="solver_rel1" localSheetId="32" hidden="1">1</definedName>
    <definedName name="solver_rel2" localSheetId="8" hidden="1">3</definedName>
    <definedName name="solver_rel2" localSheetId="17" hidden="1">3</definedName>
    <definedName name="solver_rel2" localSheetId="20" hidden="1">1</definedName>
    <definedName name="solver_rel2" localSheetId="24" hidden="1">2</definedName>
    <definedName name="solver_rel2" localSheetId="27" hidden="1">1</definedName>
    <definedName name="solver_rel2" localSheetId="29" hidden="1">3</definedName>
    <definedName name="solver_rel2" localSheetId="32" hidden="1">2</definedName>
    <definedName name="solver_rel3" localSheetId="24" hidden="1">2</definedName>
    <definedName name="solver_rel3" localSheetId="29" hidden="1">2</definedName>
    <definedName name="solver_rel4" localSheetId="24" hidden="1">1</definedName>
    <definedName name="solver_rel5" localSheetId="24" hidden="1">1</definedName>
    <definedName name="solver_rhs1" localSheetId="8" hidden="1">'P1 Q1'!$D$16</definedName>
    <definedName name="solver_rhs1" localSheetId="17" hidden="1">'P1 Q4'!$D$16</definedName>
    <definedName name="solver_rhs1" localSheetId="20" hidden="1">'P2 Q1'!$B$5:$C$5</definedName>
    <definedName name="solver_rhs1" localSheetId="24" hidden="1">'P2 Q2'!$B$5:$C$5</definedName>
    <definedName name="solver_rhs1" localSheetId="27" hidden="1">'P2 Q3'!$B$5:$C$5</definedName>
    <definedName name="solver_rhs1" localSheetId="29" hidden="1">"binary"</definedName>
    <definedName name="solver_rhs1" localSheetId="32" hidden="1">'P3 Q2'!$C$2:$C$17</definedName>
    <definedName name="solver_rhs2" localSheetId="8" hidden="1">'P1 Q1'!$I$2:$I$9</definedName>
    <definedName name="solver_rhs2" localSheetId="17" hidden="1">'P1 Q4'!$J$2:$J$9</definedName>
    <definedName name="solver_rhs2" localSheetId="20" hidden="1">'P2 Q1'!$D$2:$D$4</definedName>
    <definedName name="solver_rhs2" localSheetId="24" hidden="1">'P2 Q2'!$E$4</definedName>
    <definedName name="solver_rhs2" localSheetId="27" hidden="1">'P2 Q3'!$E$2:$E$4</definedName>
    <definedName name="solver_rhs2" localSheetId="29" hidden="1">0</definedName>
    <definedName name="solver_rhs2" localSheetId="32" hidden="1">'P3 Q2'!$H$2:$H$11</definedName>
    <definedName name="solver_rhs3" localSheetId="24" hidden="1">'P2 Q2'!$E$2:$E$3</definedName>
    <definedName name="solver_rhs3" localSheetId="29" hidden="1">'P3 Q1'!$H$2:$H$13</definedName>
    <definedName name="solver_rhs4" localSheetId="24" hidden="1">'P2 Q2'!$E$2</definedName>
    <definedName name="solver_rhs5" localSheetId="24" hidden="1">'P2 Q2'!$E$3</definedName>
    <definedName name="solver_rlx" localSheetId="8" hidden="1">2</definedName>
    <definedName name="solver_rlx" localSheetId="17" hidden="1">2</definedName>
    <definedName name="solver_rlx" localSheetId="20" hidden="1">2</definedName>
    <definedName name="solver_rlx" localSheetId="24" hidden="1">2</definedName>
    <definedName name="solver_rlx" localSheetId="27" hidden="1">2</definedName>
    <definedName name="solver_rlx" localSheetId="29" hidden="1">2</definedName>
    <definedName name="solver_rlx" localSheetId="32" hidden="1">2</definedName>
    <definedName name="solver_rsd" localSheetId="8" hidden="1">0</definedName>
    <definedName name="solver_rsd" localSheetId="17" hidden="1">0</definedName>
    <definedName name="solver_rsd" localSheetId="20" hidden="1">0</definedName>
    <definedName name="solver_rsd" localSheetId="24" hidden="1">0</definedName>
    <definedName name="solver_rsd" localSheetId="27" hidden="1">0</definedName>
    <definedName name="solver_rsd" localSheetId="29" hidden="1">0</definedName>
    <definedName name="solver_rsd" localSheetId="32" hidden="1">0</definedName>
    <definedName name="solver_scl" localSheetId="8" hidden="1">2</definedName>
    <definedName name="solver_scl" localSheetId="17" hidden="1">2</definedName>
    <definedName name="solver_scl" localSheetId="20" hidden="1">1</definedName>
    <definedName name="solver_scl" localSheetId="24" hidden="1">2</definedName>
    <definedName name="solver_scl" localSheetId="27" hidden="1">1</definedName>
    <definedName name="solver_scl" localSheetId="29" hidden="1">1</definedName>
    <definedName name="solver_scl" localSheetId="32" hidden="1">2</definedName>
    <definedName name="solver_sho" localSheetId="8" hidden="1">2</definedName>
    <definedName name="solver_sho" localSheetId="17" hidden="1">2</definedName>
    <definedName name="solver_sho" localSheetId="20" hidden="1">2</definedName>
    <definedName name="solver_sho" localSheetId="24" hidden="1">2</definedName>
    <definedName name="solver_sho" localSheetId="27" hidden="1">2</definedName>
    <definedName name="solver_sho" localSheetId="29" hidden="1">2</definedName>
    <definedName name="solver_sho" localSheetId="32" hidden="1">2</definedName>
    <definedName name="solver_ssz" localSheetId="8" hidden="1">100</definedName>
    <definedName name="solver_ssz" localSheetId="17" hidden="1">100</definedName>
    <definedName name="solver_ssz" localSheetId="20" hidden="1">100</definedName>
    <definedName name="solver_ssz" localSheetId="24" hidden="1">100</definedName>
    <definedName name="solver_ssz" localSheetId="27" hidden="1">100</definedName>
    <definedName name="solver_ssz" localSheetId="29" hidden="1">100</definedName>
    <definedName name="solver_ssz" localSheetId="32" hidden="1">100</definedName>
    <definedName name="solver_tim" localSheetId="8" hidden="1">2147483647</definedName>
    <definedName name="solver_tim" localSheetId="17" hidden="1">2147483647</definedName>
    <definedName name="solver_tim" localSheetId="20" hidden="1">2147483647</definedName>
    <definedName name="solver_tim" localSheetId="24" hidden="1">2147483647</definedName>
    <definedName name="solver_tim" localSheetId="27" hidden="1">2147483647</definedName>
    <definedName name="solver_tim" localSheetId="29" hidden="1">2147483647</definedName>
    <definedName name="solver_tim" localSheetId="32" hidden="1">2147483647</definedName>
    <definedName name="solver_tol" localSheetId="8" hidden="1">0.01</definedName>
    <definedName name="solver_tol" localSheetId="17" hidden="1">0.01</definedName>
    <definedName name="solver_tol" localSheetId="20" hidden="1">0.01</definedName>
    <definedName name="solver_tol" localSheetId="24" hidden="1">0.01</definedName>
    <definedName name="solver_tol" localSheetId="27" hidden="1">0.01</definedName>
    <definedName name="solver_tol" localSheetId="29" hidden="1">0.01</definedName>
    <definedName name="solver_tol" localSheetId="32" hidden="1">0.01</definedName>
    <definedName name="solver_typ" localSheetId="8" hidden="1">1</definedName>
    <definedName name="solver_typ" localSheetId="17" hidden="1">1</definedName>
    <definedName name="solver_typ" localSheetId="20" hidden="1">2</definedName>
    <definedName name="solver_typ" localSheetId="24" hidden="1">2</definedName>
    <definedName name="solver_typ" localSheetId="27" hidden="1">2</definedName>
    <definedName name="solver_typ" localSheetId="29" hidden="1">2</definedName>
    <definedName name="solver_typ" localSheetId="32" hidden="1">1</definedName>
    <definedName name="solver_val" localSheetId="8" hidden="1">0</definedName>
    <definedName name="solver_val" localSheetId="17" hidden="1">0</definedName>
    <definedName name="solver_val" localSheetId="20" hidden="1">0</definedName>
    <definedName name="solver_val" localSheetId="24" hidden="1">0</definedName>
    <definedName name="solver_val" localSheetId="27" hidden="1">0</definedName>
    <definedName name="solver_val" localSheetId="29" hidden="1">0</definedName>
    <definedName name="solver_val" localSheetId="32" hidden="1">0</definedName>
    <definedName name="solver_ver" localSheetId="8" hidden="1">3</definedName>
    <definedName name="solver_ver" localSheetId="17" hidden="1">3</definedName>
    <definedName name="solver_ver" localSheetId="20" hidden="1">3</definedName>
    <definedName name="solver_ver" localSheetId="24" hidden="1">3</definedName>
    <definedName name="solver_ver" localSheetId="27" hidden="1">3</definedName>
    <definedName name="solver_ver" localSheetId="29" hidden="1">3</definedName>
    <definedName name="solver_ver" localSheetId="3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33" l="1"/>
  <c r="G10" i="33"/>
  <c r="G9" i="33"/>
  <c r="G8" i="33"/>
  <c r="G7" i="33"/>
  <c r="G6" i="33"/>
  <c r="G5" i="33"/>
  <c r="G4" i="33"/>
  <c r="G3" i="33"/>
  <c r="J2" i="33"/>
  <c r="G2" i="33"/>
  <c r="G13" i="30"/>
  <c r="G12" i="30"/>
  <c r="G11" i="30"/>
  <c r="G10" i="30"/>
  <c r="G9" i="30"/>
  <c r="G8" i="30"/>
  <c r="G7" i="30"/>
  <c r="G6" i="30"/>
  <c r="G5" i="30"/>
  <c r="G4" i="30"/>
  <c r="G3" i="30"/>
  <c r="J2" i="30"/>
  <c r="G2" i="30"/>
  <c r="B13" i="28"/>
  <c r="C11" i="28"/>
  <c r="B11" i="28"/>
  <c r="D10" i="28"/>
  <c r="D9" i="28"/>
  <c r="D8" i="28"/>
  <c r="B13" i="25"/>
  <c r="C11" i="25"/>
  <c r="B11" i="25"/>
  <c r="D10" i="25"/>
  <c r="D9" i="25"/>
  <c r="D8" i="25"/>
  <c r="B13" i="21"/>
  <c r="C11" i="21"/>
  <c r="B11" i="21"/>
  <c r="D10" i="21"/>
  <c r="D9" i="21"/>
  <c r="D8" i="21"/>
  <c r="B17" i="9" a="1"/>
  <c r="B17" i="9" s="1"/>
  <c r="B18" i="9" s="1"/>
  <c r="B16" i="9" a="1"/>
  <c r="B16" i="9" s="1"/>
  <c r="I9" i="9"/>
  <c r="G9" i="9"/>
  <c r="I8" i="9"/>
  <c r="G8" i="9"/>
  <c r="I7" i="9"/>
  <c r="G7" i="9"/>
  <c r="I6" i="9"/>
  <c r="G6" i="9"/>
  <c r="I5" i="9"/>
  <c r="G5" i="9"/>
  <c r="I4" i="9"/>
  <c r="G4" i="9"/>
  <c r="I3" i="9"/>
  <c r="G3" i="9"/>
  <c r="I2" i="9"/>
  <c r="G2" i="9"/>
  <c r="C26" i="18"/>
  <c r="C25" i="18"/>
  <c r="C24" i="18"/>
  <c r="C23" i="18"/>
  <c r="C22" i="18"/>
  <c r="C21" i="18"/>
  <c r="C20" i="18"/>
  <c r="J9" i="18"/>
  <c r="H9" i="18"/>
  <c r="J8" i="18"/>
  <c r="H8" i="18"/>
  <c r="J7" i="18"/>
  <c r="H7" i="18"/>
  <c r="J6" i="18"/>
  <c r="H6" i="18"/>
  <c r="J5" i="18"/>
  <c r="H5" i="18"/>
  <c r="J4" i="18"/>
  <c r="H4" i="18"/>
  <c r="J3" i="18"/>
  <c r="H3" i="18"/>
  <c r="J2" i="18"/>
  <c r="B17" i="18" s="1" a="1"/>
  <c r="B17" i="18" s="1"/>
  <c r="B18" i="18" s="1"/>
  <c r="D18" i="18" s="1"/>
  <c r="H2" i="18"/>
  <c r="B16" i="18" s="1" a="1"/>
  <c r="B16" i="18" s="1"/>
</calcChain>
</file>

<file path=xl/sharedStrings.xml><?xml version="1.0" encoding="utf-8"?>
<sst xmlns="http://schemas.openxmlformats.org/spreadsheetml/2006/main" count="2387" uniqueCount="415">
  <si>
    <t>Project</t>
  </si>
  <si>
    <t>Profit</t>
  </si>
  <si>
    <t>Person-days</t>
  </si>
  <si>
    <t>CPU</t>
  </si>
  <si>
    <t>Quality (1-10)</t>
  </si>
  <si>
    <t>Budget (£k)</t>
  </si>
  <si>
    <t>VIRTUAL INPUT</t>
  </si>
  <si>
    <t>SIGN</t>
  </si>
  <si>
    <t xml:space="preserve">VIRTUAL OUTPUT </t>
  </si>
  <si>
    <t>P1</t>
  </si>
  <si>
    <t>&gt;=</t>
  </si>
  <si>
    <t>P2</t>
  </si>
  <si>
    <t>P3</t>
  </si>
  <si>
    <t>P4</t>
  </si>
  <si>
    <t>P5</t>
  </si>
  <si>
    <t>P6</t>
  </si>
  <si>
    <t>P7</t>
  </si>
  <si>
    <t>P8</t>
  </si>
  <si>
    <t>DECISION VARS</t>
  </si>
  <si>
    <t>W_pday</t>
  </si>
  <si>
    <t>W_cpu</t>
  </si>
  <si>
    <t>W_budget</t>
  </si>
  <si>
    <t>W_profit</t>
  </si>
  <si>
    <t>W_quality</t>
  </si>
  <si>
    <t>Optimal Weights</t>
  </si>
  <si>
    <t>Target DMU</t>
  </si>
  <si>
    <t>Select Project:</t>
  </si>
  <si>
    <t>Target input:</t>
  </si>
  <si>
    <t>=</t>
  </si>
  <si>
    <t>Target Output</t>
  </si>
  <si>
    <t>&lt;-</t>
  </si>
  <si>
    <t>OBJECTIVE</t>
  </si>
  <si>
    <t>Efficiency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</si>
  <si>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</si>
  <si>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</si>
  <si>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</si>
  <si>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</si>
  <si>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</si>
  <si>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</si>
  <si>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</si>
  <si>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</si>
  <si>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Efficient</t>
  </si>
  <si>
    <t>NOTES — P1 Q2</t>
  </si>
  <si>
    <t>#</t>
  </si>
  <si>
    <t>Cell</t>
  </si>
  <si>
    <t>Note</t>
  </si>
  <si>
    <t>K1</t>
  </si>
  <si>
    <t>Uses stale weights from last Solver run. See summary table below for correct results</t>
  </si>
  <si>
    <t>B12</t>
  </si>
  <si>
    <t>Weights from last Solver run (P8). Each project has its own optimal weights — see Answer Reports</t>
  </si>
  <si>
    <t>B15</t>
  </si>
  <si>
    <t>Change this &amp; re-run Solver for each project</t>
  </si>
  <si>
    <t>B18</t>
  </si>
  <si>
    <t>θ for currently selected project only</t>
  </si>
  <si>
    <t>A20</t>
  </si>
  <si>
    <t>Enhanced DEA: 3 inputs (person-days, CPU, budget), 2 outputs (profit, quality). P1,P3,P6,P8 efficient</t>
  </si>
  <si>
    <t>B20</t>
  </si>
  <si>
    <t>Correct θ values from Answer Reports 1–8</t>
  </si>
  <si>
    <t>B21</t>
  </si>
  <si>
    <t>θ from Answer Report 1. P1 is efficient (θ=1)</t>
  </si>
  <si>
    <t>B26</t>
  </si>
  <si>
    <t>θ from Answer Report 6. P6 is efficient (θ=1)</t>
  </si>
  <si>
    <t>Cell / Area</t>
  </si>
  <si>
    <t>Microsoft Excel 16.0 Answer Report</t>
  </si>
  <si>
    <t>Worksheet: [Operations Individual Assignment.xlsx]P1 Q1</t>
  </si>
  <si>
    <t>Report Created: 3/14/2026 10:38:54 AM</t>
  </si>
  <si>
    <t>Result: Solver found a solution.  All Constraints and optimality conditions are satisfied.</t>
  </si>
  <si>
    <t>Solver Engine</t>
  </si>
  <si>
    <t>Engine: Simplex LP</t>
  </si>
  <si>
    <t>Solution Time: 0.031 Seconds.</t>
  </si>
  <si>
    <t>Iterations: 12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</si>
  <si>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</si>
  <si>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</si>
  <si>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</si>
  <si>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</si>
  <si>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Name</t>
  </si>
  <si>
    <t>Original Value</t>
  </si>
  <si>
    <t>Final Value</t>
  </si>
  <si>
    <t>$B$17</t>
  </si>
  <si>
    <t>Target Output: Wgt Input</t>
  </si>
  <si>
    <t>Variable Cells</t>
  </si>
  <si>
    <t>Integer</t>
  </si>
  <si>
    <t>$B$12</t>
  </si>
  <si>
    <t>Optimal Weights Wgt Input</t>
  </si>
  <si>
    <t>Contin</t>
  </si>
  <si>
    <t>$C$12</t>
  </si>
  <si>
    <t>Optimal Weights Wgt</t>
  </si>
  <si>
    <t>$D$12</t>
  </si>
  <si>
    <t>Constraints</t>
  </si>
  <si>
    <t>Cell Value</t>
  </si>
  <si>
    <t>Formula</t>
  </si>
  <si>
    <t>Status</t>
  </si>
  <si>
    <t>Slack</t>
  </si>
  <si>
    <t>$B$16</t>
  </si>
  <si>
    <t>Target Input: Wgt Input</t>
  </si>
  <si>
    <t>$B$16=$D$16</t>
  </si>
  <si>
    <t>Binding</t>
  </si>
  <si>
    <t>$G$2</t>
  </si>
  <si>
    <t>Project 1 VIRTUAL INPUT</t>
  </si>
  <si>
    <t>$G$2&gt;=$I$2</t>
  </si>
  <si>
    <t>$G$3</t>
  </si>
  <si>
    <t>Project 2 VIRTUAL INPUT</t>
  </si>
  <si>
    <t>$G$3&gt;=$I$3</t>
  </si>
  <si>
    <t>Not Binding</t>
  </si>
  <si>
    <t>$G$4</t>
  </si>
  <si>
    <t>Project 3 VIRTUAL INPUT</t>
  </si>
  <si>
    <t>$G$4&gt;=$I$4</t>
  </si>
  <si>
    <t>$G$5</t>
  </si>
  <si>
    <t>Project 4 VIRTUAL INPUT</t>
  </si>
  <si>
    <t>$G$5&gt;=$I$5</t>
  </si>
  <si>
    <t>$G$6</t>
  </si>
  <si>
    <t>Project 5 VIRTUAL INPUT</t>
  </si>
  <si>
    <t>$G$6&gt;=$I$6</t>
  </si>
  <si>
    <t>$G$7</t>
  </si>
  <si>
    <t>Project 6 VIRTUAL INPUT</t>
  </si>
  <si>
    <t>$G$7&gt;=$I$7</t>
  </si>
  <si>
    <t>$G$8</t>
  </si>
  <si>
    <t>Project 7 VIRTUAL INPUT</t>
  </si>
  <si>
    <t>$G$8&gt;=$I$8</t>
  </si>
  <si>
    <t>$G$9</t>
  </si>
  <si>
    <t>Project 8 VIRTUAL INPUT</t>
  </si>
  <si>
    <t>$G$9&gt;=$I$9</t>
  </si>
  <si>
    <t>Report Created: 3/14/2026 8:24:41 PM</t>
  </si>
  <si>
    <t>Solution Time: 0.032 Seconds.</t>
  </si>
  <si>
    <t>Report Created: 3/14/2026 8:24:55 PM</t>
  </si>
  <si>
    <t>Iterations: 14 Subproblems: 0</t>
  </si>
  <si>
    <t>Report Created: 3/14/2026 8:25:10 PM</t>
  </si>
  <si>
    <t>Report Created: 3/14/2026 8:25:21 PM</t>
  </si>
  <si>
    <t>Report Created: 3/14/2026 8:25:36 PM</t>
  </si>
  <si>
    <t>Iterations: 13 Subproblems: 0</t>
  </si>
  <si>
    <t>Report Created: 3/14/2026 8:25:50 PM</t>
  </si>
  <si>
    <t>Solution Time: 0.015 Seconds.</t>
  </si>
  <si>
    <t>Report Created: 3/14/2026 8:26:10 PM</t>
  </si>
  <si>
    <t>DATA SET</t>
  </si>
  <si>
    <t>CPU Time</t>
  </si>
  <si>
    <t>PROJECT</t>
  </si>
  <si>
    <t>F</t>
  </si>
  <si>
    <t>G</t>
  </si>
  <si>
    <t>H</t>
  </si>
  <si>
    <t>I</t>
  </si>
  <si>
    <t>Wgt Input</t>
  </si>
  <si>
    <t>Wgt</t>
  </si>
  <si>
    <t>θ (Efficiency)</t>
  </si>
  <si>
    <t>Inefficient</t>
  </si>
  <si>
    <t>TARGET DMU</t>
  </si>
  <si>
    <t>Target Input:</t>
  </si>
  <si>
    <t>Target Output:</t>
  </si>
  <si>
    <t>Efficiency %:</t>
  </si>
  <si>
    <t>NOTES — P1 Q1</t>
  </si>
  <si>
    <t>Optimal weight for person-days input (from last Solver run)</t>
  </si>
  <si>
    <t>G12</t>
  </si>
  <si>
    <t>Summary: P1, P3 efficient. All others inefficient (basic 2-input/1-output CCR DEA)</t>
  </si>
  <si>
    <t>Change this to project (1-8), then re-run Solver to get that project's θ</t>
  </si>
  <si>
    <t>B16</t>
  </si>
  <si>
    <t>Looks up Virtual Input for the selected project</t>
  </si>
  <si>
    <t>D16</t>
  </si>
  <si>
    <t>Constraint: target VI = 1 (Charnes-Cooper normalisation)</t>
  </si>
  <si>
    <t>θ = VO/VI for target DMU. θ≥1 → efficient</t>
  </si>
  <si>
    <t>Worksheet: [Operations Individual Assignment.xlsx]P1 Q2</t>
  </si>
  <si>
    <t>Report Created: 3/17/2026 7:46:42 PM</t>
  </si>
  <si>
    <t>Solution Time: 0.109 Seconds.</t>
  </si>
  <si>
    <t>Target Output W_pday</t>
  </si>
  <si>
    <t>Optimal Weights W_pday</t>
  </si>
  <si>
    <t>Optimal Weights W_cpu</t>
  </si>
  <si>
    <t>Optimal Weights W_budget</t>
  </si>
  <si>
    <t>$E$12</t>
  </si>
  <si>
    <t>Optimal Weights W_profit</t>
  </si>
  <si>
    <t>$F$12</t>
  </si>
  <si>
    <t>Optimal Weights W_quality</t>
  </si>
  <si>
    <t>Target input: W_pday</t>
  </si>
  <si>
    <t>$H$2</t>
  </si>
  <si>
    <t>P1 VIRTUAL INPUT</t>
  </si>
  <si>
    <t>$H$2&gt;=$J$2</t>
  </si>
  <si>
    <t>$H$3</t>
  </si>
  <si>
    <t>P2 VIRTUAL INPUT</t>
  </si>
  <si>
    <t>$H$3&gt;=$J$3</t>
  </si>
  <si>
    <t>$H$4</t>
  </si>
  <si>
    <t>P3 VIRTUAL INPUT</t>
  </si>
  <si>
    <t>$H$4&gt;=$J$4</t>
  </si>
  <si>
    <t>$H$5</t>
  </si>
  <si>
    <t>P4 VIRTUAL INPUT</t>
  </si>
  <si>
    <t>$H$5&gt;=$J$5</t>
  </si>
  <si>
    <t>$H$6</t>
  </si>
  <si>
    <t>P5 VIRTUAL INPUT</t>
  </si>
  <si>
    <t>$H$6&gt;=$J$6</t>
  </si>
  <si>
    <t>$H$7</t>
  </si>
  <si>
    <t>P6 VIRTUAL INPUT</t>
  </si>
  <si>
    <t>$H$7&gt;=$J$7</t>
  </si>
  <si>
    <t>$H$8</t>
  </si>
  <si>
    <t>P7 VIRTUAL INPUT</t>
  </si>
  <si>
    <t>$H$8&gt;=$J$8</t>
  </si>
  <si>
    <t>$H$9</t>
  </si>
  <si>
    <t>P8 VIRTUAL INPUT</t>
  </si>
  <si>
    <t>$H$9&gt;=$J$9</t>
  </si>
  <si>
    <t>Report Created: 3/17/2026 7:48:14 PM</t>
  </si>
  <si>
    <t>Solution Time: 0.11 Seconds.</t>
  </si>
  <si>
    <t>Report Created: 3/17/2026 7:48:34 PM</t>
  </si>
  <si>
    <t>Solution Time: 0.079 Seconds.</t>
  </si>
  <si>
    <t>Iterations: 11 Subproblems: 0</t>
  </si>
  <si>
    <t>Report Created: 3/17/2026 7:51:04 PM</t>
  </si>
  <si>
    <t>Solution Time: 0.078 Seconds.</t>
  </si>
  <si>
    <t>Report Created: 3/17/2026 7:51:50 PM</t>
  </si>
  <si>
    <t>Solution Time: 0.047 Seconds.</t>
  </si>
  <si>
    <t>Iterations: 15 Subproblems: 0</t>
  </si>
  <si>
    <t>Report Created: 3/17/2026 7:52:08 PM</t>
  </si>
  <si>
    <t>Solution Time: 0.062 Seconds.</t>
  </si>
  <si>
    <t>Report Created: 3/17/2026 7:52:21 PM</t>
  </si>
  <si>
    <t>Report Created: 3/17/2026 7:52:29 PM</t>
  </si>
  <si>
    <t>Worksheet: [Operations Individual Assignment.xlsx]P2 Q1</t>
  </si>
  <si>
    <t>Report Created: 3/12/2026 3:19:15 PM</t>
  </si>
  <si>
    <t>Solution Time: 0.016 Seconds.</t>
  </si>
  <si>
    <t>Iterations: 7 Subproblems: 0</t>
  </si>
  <si>
    <t>Max Time Unlimited,  Iterations Unlimited, Precision 0.000001, Use Automatic Scaling</t>
  </si>
  <si>
    <t>Objective Cell (Min)</t>
  </si>
  <si>
    <t>$B$13</t>
  </si>
  <si>
    <t>Total Cost Steel</t>
  </si>
  <si>
    <t>$B$8</t>
  </si>
  <si>
    <t>Factory 1 Steel</t>
  </si>
  <si>
    <t>$C$8</t>
  </si>
  <si>
    <t>Factory 1 Iron</t>
  </si>
  <si>
    <t>$B$9</t>
  </si>
  <si>
    <t>Factory 2 Steel</t>
  </si>
  <si>
    <t>$C$9</t>
  </si>
  <si>
    <t>Factory 2 Iron</t>
  </si>
  <si>
    <t>$B$10</t>
  </si>
  <si>
    <t>Factory 3 Steel</t>
  </si>
  <si>
    <t>$C$10</t>
  </si>
  <si>
    <t>Factory 3 Iron</t>
  </si>
  <si>
    <t>$B$11</t>
  </si>
  <si>
    <t>Total Received Steel</t>
  </si>
  <si>
    <t>$B$11=$B$5</t>
  </si>
  <si>
    <t>$C$11</t>
  </si>
  <si>
    <t>Total Received Iron</t>
  </si>
  <si>
    <t>$C$11=$C$5</t>
  </si>
  <si>
    <t>$D$8</t>
  </si>
  <si>
    <t>Factory 1 Total Shipped</t>
  </si>
  <si>
    <t>$D$8&lt;=$D$2</t>
  </si>
  <si>
    <t>$D$9</t>
  </si>
  <si>
    <t>Factory 2 Total Shipped</t>
  </si>
  <si>
    <t>$D$9&lt;=$D$3</t>
  </si>
  <si>
    <t>$D$10</t>
  </si>
  <si>
    <t>Factory 3 Total Shipped</t>
  </si>
  <si>
    <t>$D$10&lt;=$D$4</t>
  </si>
  <si>
    <t>Microsoft Excel 16.0 Sensitivity Report</t>
  </si>
  <si>
    <t>Final</t>
  </si>
  <si>
    <t>Reduced</t>
  </si>
  <si>
    <t>Objective</t>
  </si>
  <si>
    <t>Allowable</t>
  </si>
  <si>
    <t>Value</t>
  </si>
  <si>
    <t>Cost</t>
  </si>
  <si>
    <t>Coefficient</t>
  </si>
  <si>
    <t>Increase</t>
  </si>
  <si>
    <t>Decrease</t>
  </si>
  <si>
    <t>Shadow</t>
  </si>
  <si>
    <t>Constraint</t>
  </si>
  <si>
    <t>Price</t>
  </si>
  <si>
    <t>R.H. Side</t>
  </si>
  <si>
    <t>Steel</t>
  </si>
  <si>
    <t>Iron</t>
  </si>
  <si>
    <t>Capacity</t>
  </si>
  <si>
    <t>Factory 1</t>
  </si>
  <si>
    <t>Factory 2</t>
  </si>
  <si>
    <t>Factory 3</t>
  </si>
  <si>
    <t>Demand</t>
  </si>
  <si>
    <t>Shipment Plan</t>
  </si>
  <si>
    <t>Total Shipped</t>
  </si>
  <si>
    <t>Total Received</t>
  </si>
  <si>
    <t>Total Cost</t>
  </si>
  <si>
    <t>B2:C4</t>
  </si>
  <si>
    <t>Shipping costs (£/tonne): F1 Steel=200, Iron=500; F2 Steel=800, Iron=400; F3 Steel=500, Iron=1000.</t>
  </si>
  <si>
    <t>B8:C10</t>
  </si>
  <si>
    <t>Decision variables: tonnes shipped per product per factory.</t>
  </si>
  <si>
    <t>B11</t>
  </si>
  <si>
    <t>C11</t>
  </si>
  <si>
    <t>D8</t>
  </si>
  <si>
    <t>Factory 1 at full capacity (2000/2000t).</t>
  </si>
  <si>
    <t>B13</t>
  </si>
  <si>
    <t>Optimal minimum shipping cost = £1,400,000. F1 ships all steel (cheapest @ £200/t), F2 ships all iron (cheapest @ £400/t), F3 fills remaining steel.</t>
  </si>
  <si>
    <t>Worksheet: [Operations Individual Assignment.xlsx]P2 Q2</t>
  </si>
  <si>
    <t>Report Created: 3/12/2026 3:27:54 PM</t>
  </si>
  <si>
    <t>$B$11&lt;=$B$5</t>
  </si>
  <si>
    <t>$C$11&lt;=$C$5</t>
  </si>
  <si>
    <t>$D$8=$E$2</t>
  </si>
  <si>
    <t>$D$9=$E$3</t>
  </si>
  <si>
    <t>$D$10=$E$4</t>
  </si>
  <si>
    <t>Microsoft Excel 16.0 Feasibility Report</t>
  </si>
  <si>
    <t>Worksheet: [Operations Individual Assignment_FINAL.xlsx]P2 Q2</t>
  </si>
  <si>
    <t>Report Created: 3/18/2026 8:16:49 PM</t>
  </si>
  <si>
    <t>Constraints Which Make the Problem Infeasible</t>
  </si>
  <si>
    <t>NOTES — P2 Q2</t>
  </si>
  <si>
    <t>E4</t>
  </si>
  <si>
    <t>Steel = 3200 but only because ≤ allowed partial fill elsewhere</t>
  </si>
  <si>
    <t>Iron = 300, NOT 1000. Demand not met!</t>
  </si>
  <si>
    <t>B11, C11</t>
  </si>
  <si>
    <t>Total capacity = F1 (2000t) + F2 (1500t) = 3,500t. Total demand = 3,200 + 1,000 = 4,200t. Shortfall = 700t → INFEASIBLE.</t>
  </si>
  <si>
    <t>Worksheet: [Operations Individual Assignment.xlsx]P2 Q3</t>
  </si>
  <si>
    <t>Report Created: 3/12/2026 3:36:17 PM</t>
  </si>
  <si>
    <t>$D$8&lt;=$E$2</t>
  </si>
  <si>
    <t>$D$9&lt;=$E$3</t>
  </si>
  <si>
    <t>$D$10&lt;=$E$4</t>
  </si>
  <si>
    <t>NOTES — P2 Q3</t>
  </si>
  <si>
    <t>B2</t>
  </si>
  <si>
    <t>Combined cost = shipping + raw material per tonne (200+50 = 250)</t>
  </si>
  <si>
    <t>D4</t>
  </si>
  <si>
    <t>F3 capacity restored to 2500t in this scenario</t>
  </si>
  <si>
    <t xml:space="preserve">Total combined cost = £1,674,000. Same allocation as Q1 — cost ratios preserved </t>
  </si>
  <si>
    <t>Worksheet: [Operations Individual Assignment.xlsx]P3 Q1</t>
  </si>
  <si>
    <t>Report Created: 3/13/2026 11:39:20 AM</t>
  </si>
  <si>
    <t>$J$2</t>
  </si>
  <si>
    <t>$D$2</t>
  </si>
  <si>
    <t>Flow</t>
  </si>
  <si>
    <t>Binary</t>
  </si>
  <si>
    <t>$D$3</t>
  </si>
  <si>
    <t>$D$4</t>
  </si>
  <si>
    <t>$D$5</t>
  </si>
  <si>
    <t>$D$6</t>
  </si>
  <si>
    <t>$D$7</t>
  </si>
  <si>
    <t>$D$11</t>
  </si>
  <si>
    <t>$D$13</t>
  </si>
  <si>
    <t>$D$14</t>
  </si>
  <si>
    <t>$D$15</t>
  </si>
  <si>
    <t>$D$16</t>
  </si>
  <si>
    <t>$D$17</t>
  </si>
  <si>
    <t>Net Outflow</t>
  </si>
  <si>
    <t>$G$2=$H$2</t>
  </si>
  <si>
    <t>$G$3=$H$3</t>
  </si>
  <si>
    <t>$G$4=$H$4</t>
  </si>
  <si>
    <t>$G$5=$H$5</t>
  </si>
  <si>
    <t>$G$6=$H$6</t>
  </si>
  <si>
    <t>$G$7=$H$7</t>
  </si>
  <si>
    <t>$G$8=$H$8</t>
  </si>
  <si>
    <t>$G$9=$H$9</t>
  </si>
  <si>
    <t>$G$10</t>
  </si>
  <si>
    <t>$G$10=$H$10</t>
  </si>
  <si>
    <t>$G$11</t>
  </si>
  <si>
    <t>$G$11=$H$11</t>
  </si>
  <si>
    <t>$G$12</t>
  </si>
  <si>
    <t>$G$12=$H$12</t>
  </si>
  <si>
    <t>$G$13</t>
  </si>
  <si>
    <t>$G$13=$H$13</t>
  </si>
  <si>
    <t>$D$2&gt;=0</t>
  </si>
  <si>
    <t>$D$3&gt;=0</t>
  </si>
  <si>
    <t>$D$4&gt;=0</t>
  </si>
  <si>
    <t>$D$5&gt;=0</t>
  </si>
  <si>
    <t>$D$6&gt;=0</t>
  </si>
  <si>
    <t>$D$7&gt;=0</t>
  </si>
  <si>
    <t>$D$8&gt;=0</t>
  </si>
  <si>
    <t>$D$9&gt;=0</t>
  </si>
  <si>
    <t>$D$10&gt;=0</t>
  </si>
  <si>
    <t>$D$11&gt;=0</t>
  </si>
  <si>
    <t>$D$12&gt;=0</t>
  </si>
  <si>
    <t>$D$13&gt;=0</t>
  </si>
  <si>
    <t>$D$14&gt;=0</t>
  </si>
  <si>
    <t>$D$15&gt;=0</t>
  </si>
  <si>
    <t>$D$16&gt;=0</t>
  </si>
  <si>
    <t>$D$17&gt;=0</t>
  </si>
  <si>
    <t>$D$2:$D$17=Binary</t>
  </si>
  <si>
    <t>Origin</t>
  </si>
  <si>
    <t>Destination</t>
  </si>
  <si>
    <t>Node</t>
  </si>
  <si>
    <t>Required</t>
  </si>
  <si>
    <t>NOTES — P3 Q1</t>
  </si>
  <si>
    <t>D2</t>
  </si>
  <si>
    <t>Binary 0/1: 1 = arc is on the shortest path</t>
  </si>
  <si>
    <t>G2</t>
  </si>
  <si>
    <t>Net outflow = total flow out − total flow in. Must match Required column</t>
  </si>
  <si>
    <t>H2</t>
  </si>
  <si>
    <t>+1 = source (origin node 0)</t>
  </si>
  <si>
    <t>J2</t>
  </si>
  <si>
    <t xml:space="preserve">Shortest path cost: 0→1→5→7→11 = 300+460+320+70 = £1,150 </t>
  </si>
  <si>
    <t>H13</t>
  </si>
  <si>
    <t>−1 = sink (destination node 11)</t>
  </si>
  <si>
    <t>Worksheet: [Operations Individual Assignment.xlsx]Sheet6</t>
  </si>
  <si>
    <t>Report Created: 3/13/2026 10:14:29 PM</t>
  </si>
  <si>
    <t>Total Outflow</t>
  </si>
  <si>
    <t>Flow (Decision Variables)</t>
  </si>
  <si>
    <t>Net flow</t>
  </si>
  <si>
    <t>$D$2&lt;=$C$2</t>
  </si>
  <si>
    <t>$D$3&lt;=$C$3</t>
  </si>
  <si>
    <t>$D$4&lt;=$C$4</t>
  </si>
  <si>
    <t>$D$5&lt;=$C$5</t>
  </si>
  <si>
    <t>$D$6&lt;=$C$6</t>
  </si>
  <si>
    <t>$D$7&lt;=$C$7</t>
  </si>
  <si>
    <t>$D$8&lt;=$C$8</t>
  </si>
  <si>
    <t>$D$9&lt;=$C$9</t>
  </si>
  <si>
    <t>$D$10&lt;=$C$10</t>
  </si>
  <si>
    <t>$D$11&lt;=$C$11</t>
  </si>
  <si>
    <t>$D$12&lt;=$C$12</t>
  </si>
  <si>
    <t>$D$13&lt;=$C$13</t>
  </si>
  <si>
    <t>$D$14&lt;=$C$14</t>
  </si>
  <si>
    <t>$D$15&lt;=$C$15</t>
  </si>
  <si>
    <t>$D$16&lt;=$C$16</t>
  </si>
  <si>
    <t>$D$17&lt;=$C$17</t>
  </si>
  <si>
    <t>From_Node</t>
  </si>
  <si>
    <t>To_node</t>
  </si>
  <si>
    <t>Path 1 (70 units): Node 0 sends 70 units to Node 1 → Node 5 → Node 7 → Node 11.</t>
  </si>
  <si>
    <t>Path 2 (100 units): Node 0 sends 100 units to Node 2 → Node 3 → Node 6 → Node 9 → Node 10 → Node 11.</t>
  </si>
  <si>
    <t>The pipe from Node 7 to Node 11: The flow is 70, and its maximum capacity is 70.</t>
  </si>
  <si>
    <t>The pipe from Node 9 to Node 10: The flow is 100, and its maximum capacity is 100.</t>
  </si>
  <si>
    <t>NOTES — P3 Q2</t>
  </si>
  <si>
    <t>Flow on each arc (decision variable). Must be ≤ Capacity</t>
  </si>
  <si>
    <t>Flow conservation: inflow = outflow at each intermediate node</t>
  </si>
  <si>
    <t xml:space="preserve">Max flow from node 0 to node 11 = 170 units </t>
  </si>
  <si>
    <t>F13</t>
  </si>
  <si>
    <t>Path 1: 0→1→5→7→11 carries 70 units</t>
  </si>
  <si>
    <t>D14</t>
  </si>
  <si>
    <t>Bottleneck: 7→11 at full capacity (70/70)</t>
  </si>
  <si>
    <t>F14</t>
  </si>
  <si>
    <t>Path 2: 0→2→3→6→9→10→11 carries 100 units</t>
  </si>
  <si>
    <t>Bottleneck: 9→10 at full capacity (100/100)</t>
  </si>
  <si>
    <t>Factory 3 CLOSED: capacity = 0</t>
  </si>
  <si>
    <t>This cost (£1,690,000) is NOT valid, Solver could not find a feasible solution.</t>
  </si>
  <si>
    <t>NOTES — P2 Q1</t>
  </si>
  <si>
    <t xml:space="preserve">Steel demand fully met: 3200t </t>
  </si>
  <si>
    <t xml:space="preserve">Iron demand fully met: 1000t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</si>
</sst>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£#,##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color rgb="FFFFFFFF"/>
      <name val="MS Reference Sans Serif"/>
      <family val="2"/>
    </font>
    <font>
      <b/>
      <sz val="11"/>
      <color theme="1"/>
      <name val="MS Reference Sans Serif"/>
      <family val="2"/>
    </font>
    <font>
      <b/>
      <sz val="11"/>
      <color rgb="FFC55A11"/>
      <name val="MS Reference Sans Serif"/>
      <family val="2"/>
    </font>
    <font>
      <b/>
      <sz val="11"/>
      <color rgb="FF1F3864"/>
      <name val="MS Reference Sans Serif"/>
      <family val="2"/>
    </font>
    <font>
      <b/>
      <sz val="11"/>
      <color theme="1" tint="4.9989318521683403E-2"/>
      <name val="MS Reference Sans Serif"/>
      <family val="2"/>
    </font>
    <font>
      <b/>
      <sz val="11"/>
      <color rgb="FFBF8F00"/>
      <name val="MS Reference Sans Serif"/>
      <family val="2"/>
    </font>
    <font>
      <b/>
      <sz val="11"/>
      <color rgb="FF006100"/>
      <name val="MS Reference Sans Serif"/>
      <family val="2"/>
    </font>
    <font>
      <b/>
      <sz val="11"/>
      <color rgb="FF9C0006"/>
      <name val="MS Reference Sans Serif"/>
      <family val="2"/>
    </font>
    <font>
      <b/>
      <sz val="12"/>
      <color rgb="FFFFFFFF"/>
      <name val="MS Reference Sans Serif"/>
      <family val="2"/>
    </font>
    <font>
      <b/>
      <sz val="10"/>
      <color rgb="FFFFFFFF"/>
      <name val="MS Reference Sans Serif"/>
      <family val="2"/>
    </font>
    <font>
      <b/>
      <sz val="10"/>
      <color rgb="FF666666"/>
      <name val="MS Reference Sans Serif"/>
      <family val="2"/>
    </font>
    <font>
      <b/>
      <sz val="10"/>
      <color rgb="FF1F3864"/>
      <name val="MS Reference Sans Serif"/>
      <family val="2"/>
    </font>
    <font>
      <b/>
      <sz val="10"/>
      <color rgb="FF333333"/>
      <name val="MS Reference Sans Serif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666666"/>
      <name val="Calibri"/>
      <family val="2"/>
    </font>
    <font>
      <b/>
      <sz val="10"/>
      <color rgb="FF1F3864"/>
      <name val="Calibri"/>
      <family val="2"/>
    </font>
    <font>
      <sz val="10"/>
      <color rgb="FF333333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0" fillId="0" borderId="4" xfId="0" applyBorder="1"/>
    <xf numFmtId="0" fontId="2" fillId="0" borderId="3" xfId="0" applyFont="1" applyBorder="1" applyAlignment="1">
      <alignment horizontal="center"/>
    </xf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7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2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27" xfId="0" applyFont="1" applyFill="1" applyBorder="1" applyAlignment="1">
      <alignment horizontal="center"/>
    </xf>
    <xf numFmtId="0" fontId="4" fillId="3" borderId="27" xfId="0" applyFont="1" applyFill="1" applyBorder="1"/>
    <xf numFmtId="164" fontId="4" fillId="3" borderId="27" xfId="0" applyNumberFormat="1" applyFont="1" applyFill="1" applyBorder="1"/>
    <xf numFmtId="164" fontId="4" fillId="3" borderId="28" xfId="0" applyNumberFormat="1" applyFont="1" applyFill="1" applyBorder="1"/>
    <xf numFmtId="0" fontId="5" fillId="0" borderId="0" xfId="0" applyFont="1"/>
    <xf numFmtId="0" fontId="4" fillId="4" borderId="27" xfId="0" applyFont="1" applyFill="1" applyBorder="1" applyAlignment="1">
      <alignment horizontal="center"/>
    </xf>
    <xf numFmtId="0" fontId="4" fillId="4" borderId="27" xfId="0" applyFont="1" applyFill="1" applyBorder="1"/>
    <xf numFmtId="164" fontId="4" fillId="4" borderId="27" xfId="0" applyNumberFormat="1" applyFont="1" applyFill="1" applyBorder="1"/>
    <xf numFmtId="164" fontId="4" fillId="4" borderId="28" xfId="0" applyNumberFormat="1" applyFont="1" applyFill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6" fillId="9" borderId="14" xfId="0" applyFont="1" applyFill="1" applyBorder="1"/>
    <xf numFmtId="0" fontId="6" fillId="9" borderId="15" xfId="0" applyFont="1" applyFill="1" applyBorder="1"/>
    <xf numFmtId="0" fontId="6" fillId="9" borderId="16" xfId="0" applyFont="1" applyFill="1" applyBorder="1"/>
    <xf numFmtId="0" fontId="4" fillId="0" borderId="17" xfId="0" applyFont="1" applyBorder="1"/>
    <xf numFmtId="0" fontId="4" fillId="0" borderId="2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8" xfId="0" applyFont="1" applyBorder="1"/>
    <xf numFmtId="0" fontId="6" fillId="9" borderId="12" xfId="0" applyFont="1" applyFill="1" applyBorder="1" applyAlignment="1">
      <alignment horizontal="center"/>
    </xf>
    <xf numFmtId="0" fontId="4" fillId="0" borderId="13" xfId="0" applyFont="1" applyBorder="1"/>
    <xf numFmtId="0" fontId="7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/>
    <xf numFmtId="0" fontId="4" fillId="0" borderId="19" xfId="0" applyFont="1" applyBorder="1"/>
    <xf numFmtId="164" fontId="8" fillId="10" borderId="9" xfId="0" applyNumberFormat="1" applyFont="1" applyFill="1" applyBorder="1"/>
    <xf numFmtId="0" fontId="4" fillId="0" borderId="10" xfId="0" applyFont="1" applyBorder="1"/>
    <xf numFmtId="0" fontId="8" fillId="10" borderId="11" xfId="0" applyFont="1" applyFill="1" applyBorder="1"/>
    <xf numFmtId="0" fontId="4" fillId="0" borderId="28" xfId="0" applyFont="1" applyBorder="1" applyAlignment="1">
      <alignment horizontal="left" vertical="center" wrapText="1"/>
    </xf>
    <xf numFmtId="164" fontId="9" fillId="11" borderId="27" xfId="0" applyNumberFormat="1" applyFont="1" applyFill="1" applyBorder="1"/>
    <xf numFmtId="0" fontId="9" fillId="11" borderId="27" xfId="0" applyFont="1" applyFill="1" applyBorder="1"/>
    <xf numFmtId="0" fontId="4" fillId="3" borderId="28" xfId="0" applyFont="1" applyFill="1" applyBorder="1"/>
    <xf numFmtId="164" fontId="10" fillId="12" borderId="27" xfId="0" applyNumberFormat="1" applyFont="1" applyFill="1" applyBorder="1"/>
    <xf numFmtId="0" fontId="10" fillId="12" borderId="27" xfId="0" applyFont="1" applyFill="1" applyBorder="1"/>
    <xf numFmtId="0" fontId="4" fillId="4" borderId="28" xfId="0" applyFont="1" applyFill="1" applyBorder="1"/>
    <xf numFmtId="0" fontId="12" fillId="6" borderId="28" xfId="0" applyFont="1" applyFill="1" applyBorder="1" applyAlignment="1">
      <alignment horizontal="center" vertical="center"/>
    </xf>
    <xf numFmtId="0" fontId="12" fillId="6" borderId="28" xfId="0" applyFont="1" applyFill="1" applyBorder="1" applyAlignment="1">
      <alignment horizontal="left" vertical="center"/>
    </xf>
    <xf numFmtId="0" fontId="13" fillId="7" borderId="28" xfId="0" applyFont="1" applyFill="1" applyBorder="1" applyAlignment="1">
      <alignment horizontal="center" vertical="top"/>
    </xf>
    <xf numFmtId="0" fontId="14" fillId="7" borderId="28" xfId="0" applyFont="1" applyFill="1" applyBorder="1" applyAlignment="1">
      <alignment horizontal="center" vertical="top"/>
    </xf>
    <xf numFmtId="0" fontId="15" fillId="7" borderId="28" xfId="0" applyFont="1" applyFill="1" applyBorder="1" applyAlignment="1">
      <alignment horizontal="left" vertical="top" wrapText="1"/>
    </xf>
    <xf numFmtId="0" fontId="13" fillId="8" borderId="28" xfId="0" applyFont="1" applyFill="1" applyBorder="1" applyAlignment="1">
      <alignment horizontal="center" vertical="top"/>
    </xf>
    <xf numFmtId="0" fontId="14" fillId="8" borderId="28" xfId="0" applyFont="1" applyFill="1" applyBorder="1" applyAlignment="1">
      <alignment horizontal="center" vertical="top"/>
    </xf>
    <xf numFmtId="0" fontId="15" fillId="8" borderId="28" xfId="0" applyFont="1" applyFill="1" applyBorder="1" applyAlignment="1">
      <alignment horizontal="left" vertical="top" wrapText="1"/>
    </xf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0" fontId="6" fillId="9" borderId="23" xfId="0" applyFont="1" applyFill="1" applyBorder="1"/>
    <xf numFmtId="0" fontId="6" fillId="9" borderId="24" xfId="0" applyFont="1" applyFill="1" applyBorder="1"/>
    <xf numFmtId="0" fontId="6" fillId="9" borderId="25" xfId="0" applyFont="1" applyFill="1" applyBorder="1"/>
    <xf numFmtId="0" fontId="4" fillId="0" borderId="6" xfId="0" applyFont="1" applyBorder="1"/>
    <xf numFmtId="0" fontId="6" fillId="9" borderId="17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0" fontId="8" fillId="10" borderId="19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5" fillId="13" borderId="27" xfId="0" applyFont="1" applyFill="1" applyBorder="1"/>
    <xf numFmtId="0" fontId="8" fillId="10" borderId="0" xfId="0" applyFont="1" applyFill="1"/>
    <xf numFmtId="165" fontId="8" fillId="10" borderId="0" xfId="0" applyNumberFormat="1" applyFont="1" applyFill="1"/>
    <xf numFmtId="0" fontId="4" fillId="9" borderId="27" xfId="0" applyFont="1" applyFill="1" applyBorder="1"/>
    <xf numFmtId="0" fontId="10" fillId="12" borderId="0" xfId="0" applyFont="1" applyFill="1"/>
    <xf numFmtId="165" fontId="10" fillId="12" borderId="0" xfId="0" applyNumberFormat="1" applyFont="1" applyFill="1"/>
    <xf numFmtId="0" fontId="6" fillId="9" borderId="27" xfId="0" applyFont="1" applyFill="1" applyBorder="1"/>
    <xf numFmtId="0" fontId="9" fillId="11" borderId="27" xfId="0" applyFont="1" applyFill="1" applyBorder="1" applyAlignment="1">
      <alignment horizontal="center"/>
    </xf>
    <xf numFmtId="0" fontId="5" fillId="13" borderId="27" xfId="0" applyFont="1" applyFill="1" applyBorder="1" applyAlignment="1">
      <alignment horizontal="center"/>
    </xf>
    <xf numFmtId="0" fontId="4" fillId="11" borderId="27" xfId="0" applyFont="1" applyFill="1" applyBorder="1"/>
    <xf numFmtId="0" fontId="14" fillId="16" borderId="31" xfId="0" applyFont="1" applyFill="1" applyBorder="1" applyAlignment="1">
      <alignment horizontal="center" vertical="top"/>
    </xf>
    <xf numFmtId="0" fontId="13" fillId="16" borderId="31" xfId="0" applyFont="1" applyFill="1" applyBorder="1" applyAlignment="1">
      <alignment horizontal="center" vertical="top"/>
    </xf>
    <xf numFmtId="0" fontId="15" fillId="16" borderId="31" xfId="0" applyFont="1" applyFill="1" applyBorder="1" applyAlignment="1">
      <alignment horizontal="left" vertical="top" wrapText="1"/>
    </xf>
    <xf numFmtId="0" fontId="17" fillId="0" borderId="34" xfId="0" applyFont="1" applyBorder="1" applyAlignment="1">
      <alignment horizontal="center" vertical="center"/>
    </xf>
    <xf numFmtId="0" fontId="17" fillId="0" borderId="34" xfId="0" applyFont="1" applyBorder="1" applyAlignment="1">
      <alignment horizontal="left" vertical="center"/>
    </xf>
    <xf numFmtId="0" fontId="18" fillId="0" borderId="34" xfId="0" applyFont="1" applyBorder="1" applyAlignment="1">
      <alignment horizontal="center" vertical="top"/>
    </xf>
    <xf numFmtId="0" fontId="19" fillId="0" borderId="34" xfId="0" applyFont="1" applyBorder="1" applyAlignment="1">
      <alignment horizontal="center" vertical="top"/>
    </xf>
    <xf numFmtId="0" fontId="20" fillId="0" borderId="34" xfId="0" applyFont="1" applyBorder="1" applyAlignment="1">
      <alignment horizontal="left" vertical="top" wrapText="1"/>
    </xf>
    <xf numFmtId="0" fontId="4" fillId="0" borderId="34" xfId="0" applyFont="1" applyBorder="1"/>
    <xf numFmtId="0" fontId="14" fillId="17" borderId="31" xfId="0" applyFont="1" applyFill="1" applyBorder="1" applyAlignment="1">
      <alignment horizontal="center" vertical="top"/>
    </xf>
    <xf numFmtId="0" fontId="13" fillId="17" borderId="31" xfId="0" applyFont="1" applyFill="1" applyBorder="1" applyAlignment="1">
      <alignment horizontal="center" vertical="top"/>
    </xf>
    <xf numFmtId="0" fontId="15" fillId="17" borderId="31" xfId="0" applyFont="1" applyFill="1" applyBorder="1" applyAlignment="1">
      <alignment horizontal="left" vertical="top" wrapText="1"/>
    </xf>
    <xf numFmtId="0" fontId="12" fillId="15" borderId="31" xfId="0" applyFont="1" applyFill="1" applyBorder="1" applyAlignment="1">
      <alignment horizontal="center" vertical="center"/>
    </xf>
    <xf numFmtId="0" fontId="12" fillId="15" borderId="31" xfId="0" applyFont="1" applyFill="1" applyBorder="1" applyAlignment="1">
      <alignment horizontal="left" vertical="center"/>
    </xf>
    <xf numFmtId="0" fontId="12" fillId="0" borderId="34" xfId="0" applyFont="1" applyBorder="1" applyAlignment="1">
      <alignment horizontal="center" vertical="center"/>
    </xf>
    <xf numFmtId="0" fontId="12" fillId="0" borderId="34" xfId="0" applyFont="1" applyBorder="1" applyAlignment="1">
      <alignment horizontal="left" vertical="center"/>
    </xf>
    <xf numFmtId="0" fontId="14" fillId="0" borderId="34" xfId="0" applyFont="1" applyBorder="1" applyAlignment="1">
      <alignment horizontal="center" vertical="top"/>
    </xf>
    <xf numFmtId="0" fontId="13" fillId="0" borderId="34" xfId="0" applyFont="1" applyBorder="1" applyAlignment="1">
      <alignment horizontal="center" vertical="top"/>
    </xf>
    <xf numFmtId="0" fontId="15" fillId="0" borderId="34" xfId="0" applyFont="1" applyBorder="1" applyAlignment="1">
      <alignment horizontal="left" vertical="top" wrapText="1"/>
    </xf>
    <xf numFmtId="0" fontId="16" fillId="0" borderId="34" xfId="0" applyFont="1" applyBorder="1" applyAlignment="1">
      <alignment horizontal="left" vertical="center"/>
    </xf>
    <xf numFmtId="0" fontId="0" fillId="0" borderId="34" xfId="0" applyBorder="1"/>
    <xf numFmtId="0" fontId="11" fillId="5" borderId="28" xfId="0" applyFont="1" applyFill="1" applyBorder="1" applyAlignment="1">
      <alignment horizontal="left" vertical="center"/>
    </xf>
    <xf numFmtId="0" fontId="0" fillId="0" borderId="29" xfId="0" applyBorder="1"/>
    <xf numFmtId="0" fontId="0" fillId="0" borderId="30" xfId="0" applyBorder="1"/>
    <xf numFmtId="0" fontId="11" fillId="14" borderId="31" xfId="0" applyFont="1" applyFill="1" applyBorder="1" applyAlignment="1">
      <alignment horizontal="left" vertical="center"/>
    </xf>
    <xf numFmtId="0" fontId="4" fillId="0" borderId="32" xfId="0" applyFont="1" applyBorder="1"/>
    <xf numFmtId="0" fontId="4" fillId="0" borderId="33" xfId="0" applyFont="1" applyBorder="1"/>
    <xf numFmtId="0" fontId="11" fillId="0" borderId="34" xfId="0" applyFont="1" applyBorder="1" applyAlignment="1">
      <alignment horizontal="left" vertical="center"/>
    </xf>
    <xf numFmtId="0" fontId="4" fillId="0" borderId="34" xfId="0" applyFont="1" applyBorder="1"/>
    <xf numFmtId="0" fontId="4" fillId="0" borderId="29" xfId="0" applyFont="1" applyBorder="1"/>
    <xf numFmtId="0" fontId="4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36"/>
  <sheetViews>
    <sheetView showGridLines="0" topLeftCell="A11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21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64</v>
      </c>
    </row>
    <row r="3" spans="1:5" x14ac:dyDescent="0.3">
      <c r="A3" s="1" t="s">
        <v>65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69</v>
      </c>
    </row>
    <row r="8" spans="1:5" x14ac:dyDescent="0.3">
      <c r="A8" s="1"/>
      <c r="B8" t="s">
        <v>70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79</v>
      </c>
      <c r="D16" s="2">
        <v>0</v>
      </c>
      <c r="E16" s="2">
        <v>0.99999999999998845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83</v>
      </c>
      <c r="D21" s="4">
        <v>0</v>
      </c>
      <c r="E21" s="4">
        <v>7.1428571428573402E-4</v>
      </c>
      <c r="F21" s="4" t="s">
        <v>84</v>
      </c>
    </row>
    <row r="22" spans="1:7" x14ac:dyDescent="0.3">
      <c r="B22" s="4" t="s">
        <v>85</v>
      </c>
      <c r="C22" s="4" t="s">
        <v>86</v>
      </c>
      <c r="D22" s="4">
        <v>0</v>
      </c>
      <c r="E22" s="4">
        <v>3.0357142857142349E-3</v>
      </c>
      <c r="F22" s="4" t="s">
        <v>84</v>
      </c>
    </row>
    <row r="23" spans="1:7" ht="15" customHeight="1" thickBot="1" x14ac:dyDescent="0.35">
      <c r="B23" s="2" t="s">
        <v>87</v>
      </c>
      <c r="C23" s="2" t="s">
        <v>86</v>
      </c>
      <c r="D23" s="2">
        <v>0</v>
      </c>
      <c r="E23" s="2">
        <v>0.47619047619047072</v>
      </c>
      <c r="F23" s="2" t="s">
        <v>84</v>
      </c>
    </row>
    <row r="26" spans="1:7" ht="15" customHeight="1" thickBot="1" x14ac:dyDescent="0.35">
      <c r="A26" t="s">
        <v>88</v>
      </c>
    </row>
    <row r="27" spans="1:7" ht="15" customHeight="1" thickBot="1" x14ac:dyDescent="0.35">
      <c r="B27" s="3" t="s">
        <v>44</v>
      </c>
      <c r="C27" s="3" t="s">
        <v>75</v>
      </c>
      <c r="D27" s="3" t="s">
        <v>89</v>
      </c>
      <c r="E27" s="3" t="s">
        <v>90</v>
      </c>
      <c r="F27" s="3" t="s">
        <v>91</v>
      </c>
      <c r="G27" s="3" t="s">
        <v>92</v>
      </c>
    </row>
    <row r="28" spans="1:7" x14ac:dyDescent="0.3">
      <c r="B28" s="4" t="s">
        <v>93</v>
      </c>
      <c r="C28" s="4" t="s">
        <v>94</v>
      </c>
      <c r="D28" s="4">
        <v>1.0000000000000011</v>
      </c>
      <c r="E28" s="4" t="s">
        <v>95</v>
      </c>
      <c r="F28" s="4" t="s">
        <v>96</v>
      </c>
      <c r="G28" s="4">
        <v>0</v>
      </c>
    </row>
    <row r="29" spans="1:7" x14ac:dyDescent="0.3">
      <c r="B29" s="4" t="s">
        <v>97</v>
      </c>
      <c r="C29" s="4" t="s">
        <v>98</v>
      </c>
      <c r="D29" s="4">
        <v>1.0000000000000011</v>
      </c>
      <c r="E29" s="4" t="s">
        <v>99</v>
      </c>
      <c r="F29" s="4" t="s">
        <v>96</v>
      </c>
      <c r="G29" s="4">
        <v>0</v>
      </c>
    </row>
    <row r="30" spans="1:7" x14ac:dyDescent="0.3">
      <c r="B30" s="4" t="s">
        <v>100</v>
      </c>
      <c r="C30" s="4" t="s">
        <v>101</v>
      </c>
      <c r="D30" s="4">
        <v>0.74107142857142883</v>
      </c>
      <c r="E30" s="4" t="s">
        <v>102</v>
      </c>
      <c r="F30" s="4" t="s">
        <v>103</v>
      </c>
      <c r="G30" s="4">
        <v>0.50297619047619346</v>
      </c>
    </row>
    <row r="31" spans="1:7" x14ac:dyDescent="0.3">
      <c r="B31" s="4" t="s">
        <v>104</v>
      </c>
      <c r="C31" s="4" t="s">
        <v>105</v>
      </c>
      <c r="D31" s="4">
        <v>1.4285714285714139</v>
      </c>
      <c r="E31" s="4" t="s">
        <v>106</v>
      </c>
      <c r="F31" s="4" t="s">
        <v>96</v>
      </c>
      <c r="G31" s="4">
        <v>0</v>
      </c>
    </row>
    <row r="32" spans="1:7" x14ac:dyDescent="0.3">
      <c r="B32" s="4" t="s">
        <v>107</v>
      </c>
      <c r="C32" s="4" t="s">
        <v>108</v>
      </c>
      <c r="D32" s="4">
        <v>1.6160714285714119</v>
      </c>
      <c r="E32" s="4" t="s">
        <v>109</v>
      </c>
      <c r="F32" s="4" t="s">
        <v>103</v>
      </c>
      <c r="G32" s="4">
        <v>0.66369047619047106</v>
      </c>
    </row>
    <row r="33" spans="2:7" x14ac:dyDescent="0.3">
      <c r="B33" s="4" t="s">
        <v>110</v>
      </c>
      <c r="C33" s="4" t="s">
        <v>111</v>
      </c>
      <c r="D33" s="4">
        <v>1.232142857142851</v>
      </c>
      <c r="E33" s="4" t="s">
        <v>112</v>
      </c>
      <c r="F33" s="4" t="s">
        <v>103</v>
      </c>
      <c r="G33" s="4">
        <v>0.75595238095238004</v>
      </c>
    </row>
    <row r="34" spans="2:7" x14ac:dyDescent="0.3">
      <c r="B34" s="4" t="s">
        <v>113</v>
      </c>
      <c r="C34" s="4" t="s">
        <v>114</v>
      </c>
      <c r="D34" s="4">
        <v>0.81250000000000222</v>
      </c>
      <c r="E34" s="4" t="s">
        <v>115</v>
      </c>
      <c r="F34" s="4" t="s">
        <v>103</v>
      </c>
      <c r="G34" s="4">
        <v>9.8214285714296246E-2</v>
      </c>
    </row>
    <row r="35" spans="2:7" x14ac:dyDescent="0.3">
      <c r="B35" s="4" t="s">
        <v>116</v>
      </c>
      <c r="C35" s="4" t="s">
        <v>117</v>
      </c>
      <c r="D35" s="4">
        <v>0.85714285714285376</v>
      </c>
      <c r="E35" s="4" t="s">
        <v>118</v>
      </c>
      <c r="F35" s="4" t="s">
        <v>103</v>
      </c>
      <c r="G35" s="4">
        <v>0.5714285714285714</v>
      </c>
    </row>
    <row r="36" spans="2:7" ht="15" customHeight="1" thickBot="1" x14ac:dyDescent="0.35">
      <c r="B36" s="2" t="s">
        <v>119</v>
      </c>
      <c r="C36" s="2" t="s">
        <v>120</v>
      </c>
      <c r="D36" s="2">
        <v>1.964285714285688</v>
      </c>
      <c r="E36" s="2" t="s">
        <v>121</v>
      </c>
      <c r="F36" s="2" t="s">
        <v>103</v>
      </c>
      <c r="G36" s="2">
        <v>1.1071428571428401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36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21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64</v>
      </c>
    </row>
    <row r="3" spans="1:5" x14ac:dyDescent="0.3">
      <c r="A3" s="1" t="s">
        <v>122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123</v>
      </c>
    </row>
    <row r="8" spans="1:5" x14ac:dyDescent="0.3">
      <c r="A8" s="1"/>
      <c r="B8" t="s">
        <v>70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79</v>
      </c>
      <c r="D16" s="2">
        <v>0.23809523809523531</v>
      </c>
      <c r="E16" s="2">
        <v>0.32128514056224527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83</v>
      </c>
      <c r="D21" s="4">
        <v>7.1428571428573402E-4</v>
      </c>
      <c r="E21" s="4">
        <v>9.6385542168677372E-4</v>
      </c>
      <c r="F21" s="4" t="s">
        <v>84</v>
      </c>
    </row>
    <row r="22" spans="1:7" x14ac:dyDescent="0.3">
      <c r="B22" s="4" t="s">
        <v>85</v>
      </c>
      <c r="C22" s="4" t="s">
        <v>86</v>
      </c>
      <c r="D22" s="4">
        <v>3.0357142857142349E-3</v>
      </c>
      <c r="E22" s="4">
        <v>4.0963855421686061E-3</v>
      </c>
      <c r="F22" s="4" t="s">
        <v>84</v>
      </c>
    </row>
    <row r="23" spans="1:7" ht="15" customHeight="1" thickBot="1" x14ac:dyDescent="0.35">
      <c r="B23" s="2" t="s">
        <v>87</v>
      </c>
      <c r="C23" s="2" t="s">
        <v>86</v>
      </c>
      <c r="D23" s="2">
        <v>0.47619047619047072</v>
      </c>
      <c r="E23" s="2">
        <v>0.64257028112449066</v>
      </c>
      <c r="F23" s="2" t="s">
        <v>84</v>
      </c>
    </row>
    <row r="26" spans="1:7" ht="15" customHeight="1" thickBot="1" x14ac:dyDescent="0.35">
      <c r="A26" t="s">
        <v>88</v>
      </c>
    </row>
    <row r="27" spans="1:7" ht="15" customHeight="1" thickBot="1" x14ac:dyDescent="0.35">
      <c r="B27" s="3" t="s">
        <v>44</v>
      </c>
      <c r="C27" s="3" t="s">
        <v>75</v>
      </c>
      <c r="D27" s="3" t="s">
        <v>89</v>
      </c>
      <c r="E27" s="3" t="s">
        <v>90</v>
      </c>
      <c r="F27" s="3" t="s">
        <v>91</v>
      </c>
      <c r="G27" s="3" t="s">
        <v>92</v>
      </c>
    </row>
    <row r="28" spans="1:7" x14ac:dyDescent="0.3">
      <c r="B28" s="4" t="s">
        <v>93</v>
      </c>
      <c r="C28" s="4" t="s">
        <v>94</v>
      </c>
      <c r="D28" s="4">
        <v>1</v>
      </c>
      <c r="E28" s="4" t="s">
        <v>95</v>
      </c>
      <c r="F28" s="4" t="s">
        <v>96</v>
      </c>
      <c r="G28" s="4">
        <v>0</v>
      </c>
    </row>
    <row r="29" spans="1:7" x14ac:dyDescent="0.3">
      <c r="B29" s="4" t="s">
        <v>97</v>
      </c>
      <c r="C29" s="4" t="s">
        <v>98</v>
      </c>
      <c r="D29" s="4">
        <v>1.349397590361447</v>
      </c>
      <c r="E29" s="4" t="s">
        <v>99</v>
      </c>
      <c r="F29" s="4" t="s">
        <v>96</v>
      </c>
      <c r="G29" s="4">
        <v>0</v>
      </c>
    </row>
    <row r="30" spans="1:7" x14ac:dyDescent="0.3">
      <c r="B30" s="4" t="s">
        <v>100</v>
      </c>
      <c r="C30" s="4" t="s">
        <v>101</v>
      </c>
      <c r="D30" s="4">
        <v>1</v>
      </c>
      <c r="E30" s="4" t="s">
        <v>102</v>
      </c>
      <c r="F30" s="4" t="s">
        <v>103</v>
      </c>
      <c r="G30" s="4">
        <v>0.67871485943775511</v>
      </c>
    </row>
    <row r="31" spans="1:7" x14ac:dyDescent="0.3">
      <c r="B31" s="4" t="s">
        <v>104</v>
      </c>
      <c r="C31" s="4" t="s">
        <v>105</v>
      </c>
      <c r="D31" s="4">
        <v>1.9277108433734751</v>
      </c>
      <c r="E31" s="4" t="s">
        <v>106</v>
      </c>
      <c r="F31" s="4" t="s">
        <v>96</v>
      </c>
      <c r="G31" s="4">
        <v>0</v>
      </c>
    </row>
    <row r="32" spans="1:7" x14ac:dyDescent="0.3">
      <c r="B32" s="4" t="s">
        <v>107</v>
      </c>
      <c r="C32" s="4" t="s">
        <v>108</v>
      </c>
      <c r="D32" s="4">
        <v>2.1807228915662442</v>
      </c>
      <c r="E32" s="4" t="s">
        <v>109</v>
      </c>
      <c r="F32" s="4" t="s">
        <v>103</v>
      </c>
      <c r="G32" s="4">
        <v>0.89558232931726245</v>
      </c>
    </row>
    <row r="33" spans="2:7" x14ac:dyDescent="0.3">
      <c r="B33" s="4" t="s">
        <v>110</v>
      </c>
      <c r="C33" s="4" t="s">
        <v>111</v>
      </c>
      <c r="D33" s="4">
        <v>1.6626506024096299</v>
      </c>
      <c r="E33" s="4" t="s">
        <v>112</v>
      </c>
      <c r="F33" s="4" t="s">
        <v>103</v>
      </c>
      <c r="G33" s="4">
        <v>1.020080321285139</v>
      </c>
    </row>
    <row r="34" spans="2:7" x14ac:dyDescent="0.3">
      <c r="B34" s="4" t="s">
        <v>113</v>
      </c>
      <c r="C34" s="4" t="s">
        <v>114</v>
      </c>
      <c r="D34" s="4">
        <v>1.0963855421686779</v>
      </c>
      <c r="E34" s="4" t="s">
        <v>115</v>
      </c>
      <c r="F34" s="4" t="s">
        <v>103</v>
      </c>
      <c r="G34" s="4">
        <v>0.1325301204819419</v>
      </c>
    </row>
    <row r="35" spans="2:7" x14ac:dyDescent="0.3">
      <c r="B35" s="4" t="s">
        <v>116</v>
      </c>
      <c r="C35" s="4" t="s">
        <v>117</v>
      </c>
      <c r="D35" s="4">
        <v>1.1566265060240919</v>
      </c>
      <c r="E35" s="4" t="s">
        <v>118</v>
      </c>
      <c r="F35" s="4" t="s">
        <v>103</v>
      </c>
      <c r="G35" s="4">
        <v>0.77108433734939774</v>
      </c>
    </row>
    <row r="36" spans="2:7" ht="15" customHeight="1" thickBot="1" x14ac:dyDescent="0.35">
      <c r="B36" s="2" t="s">
        <v>119</v>
      </c>
      <c r="C36" s="2" t="s">
        <v>120</v>
      </c>
      <c r="D36" s="2">
        <v>2.6506024096385188</v>
      </c>
      <c r="E36" s="2" t="s">
        <v>121</v>
      </c>
      <c r="F36" s="2" t="s">
        <v>103</v>
      </c>
      <c r="G36" s="2">
        <v>1.493975903614436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G36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21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64</v>
      </c>
    </row>
    <row r="3" spans="1:5" x14ac:dyDescent="0.3">
      <c r="A3" s="1" t="s">
        <v>124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123</v>
      </c>
    </row>
    <row r="8" spans="1:5" x14ac:dyDescent="0.3">
      <c r="A8" s="1"/>
      <c r="B8" t="s">
        <v>125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79</v>
      </c>
      <c r="D16" s="2">
        <v>1.927710843373472</v>
      </c>
      <c r="E16" s="2">
        <v>0.99999999999999811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83</v>
      </c>
      <c r="D21" s="4">
        <v>9.6385542168677372E-4</v>
      </c>
      <c r="E21" s="4">
        <v>5.0000000000001877E-4</v>
      </c>
      <c r="F21" s="4" t="s">
        <v>84</v>
      </c>
    </row>
    <row r="22" spans="1:7" x14ac:dyDescent="0.3">
      <c r="B22" s="4" t="s">
        <v>85</v>
      </c>
      <c r="C22" s="4" t="s">
        <v>86</v>
      </c>
      <c r="D22" s="4">
        <v>4.0963855421686061E-3</v>
      </c>
      <c r="E22" s="4">
        <v>2.124999999999985E-3</v>
      </c>
      <c r="F22" s="4" t="s">
        <v>84</v>
      </c>
    </row>
    <row r="23" spans="1:7" ht="15" customHeight="1" thickBot="1" x14ac:dyDescent="0.35">
      <c r="B23" s="2" t="s">
        <v>87</v>
      </c>
      <c r="C23" s="2" t="s">
        <v>86</v>
      </c>
      <c r="D23" s="2">
        <v>0.64257028112449066</v>
      </c>
      <c r="E23" s="2">
        <v>0.3333333333333327</v>
      </c>
      <c r="F23" s="2" t="s">
        <v>84</v>
      </c>
    </row>
    <row r="26" spans="1:7" ht="15" customHeight="1" thickBot="1" x14ac:dyDescent="0.35">
      <c r="A26" t="s">
        <v>88</v>
      </c>
    </row>
    <row r="27" spans="1:7" ht="15" customHeight="1" thickBot="1" x14ac:dyDescent="0.35">
      <c r="B27" s="3" t="s">
        <v>44</v>
      </c>
      <c r="C27" s="3" t="s">
        <v>75</v>
      </c>
      <c r="D27" s="3" t="s">
        <v>89</v>
      </c>
      <c r="E27" s="3" t="s">
        <v>90</v>
      </c>
      <c r="F27" s="3" t="s">
        <v>91</v>
      </c>
      <c r="G27" s="3" t="s">
        <v>92</v>
      </c>
    </row>
    <row r="28" spans="1:7" x14ac:dyDescent="0.3">
      <c r="B28" s="4" t="s">
        <v>93</v>
      </c>
      <c r="C28" s="4" t="s">
        <v>94</v>
      </c>
      <c r="D28" s="4">
        <v>0.99999999999999978</v>
      </c>
      <c r="E28" s="4" t="s">
        <v>95</v>
      </c>
      <c r="F28" s="4" t="s">
        <v>96</v>
      </c>
      <c r="G28" s="4">
        <v>0</v>
      </c>
    </row>
    <row r="29" spans="1:7" x14ac:dyDescent="0.3">
      <c r="B29" s="4" t="s">
        <v>97</v>
      </c>
      <c r="C29" s="4" t="s">
        <v>98</v>
      </c>
      <c r="D29" s="4">
        <v>0.70000000000000751</v>
      </c>
      <c r="E29" s="4" t="s">
        <v>99</v>
      </c>
      <c r="F29" s="4" t="s">
        <v>96</v>
      </c>
      <c r="G29" s="4">
        <v>0</v>
      </c>
    </row>
    <row r="30" spans="1:7" x14ac:dyDescent="0.3">
      <c r="B30" s="4" t="s">
        <v>100</v>
      </c>
      <c r="C30" s="4" t="s">
        <v>101</v>
      </c>
      <c r="D30" s="4">
        <v>0.51875000000000537</v>
      </c>
      <c r="E30" s="4" t="s">
        <v>102</v>
      </c>
      <c r="F30" s="4" t="s">
        <v>103</v>
      </c>
      <c r="G30" s="4">
        <v>0.35208333333333902</v>
      </c>
    </row>
    <row r="31" spans="1:7" x14ac:dyDescent="0.3">
      <c r="B31" s="4" t="s">
        <v>104</v>
      </c>
      <c r="C31" s="4" t="s">
        <v>105</v>
      </c>
      <c r="D31" s="4">
        <v>0.99999999999999978</v>
      </c>
      <c r="E31" s="4" t="s">
        <v>106</v>
      </c>
      <c r="F31" s="4" t="s">
        <v>96</v>
      </c>
      <c r="G31" s="4">
        <v>0</v>
      </c>
    </row>
    <row r="32" spans="1:7" x14ac:dyDescent="0.3">
      <c r="B32" s="4" t="s">
        <v>107</v>
      </c>
      <c r="C32" s="4" t="s">
        <v>108</v>
      </c>
      <c r="D32" s="4">
        <v>1.1312500000000001</v>
      </c>
      <c r="E32" s="4" t="s">
        <v>109</v>
      </c>
      <c r="F32" s="4" t="s">
        <v>103</v>
      </c>
      <c r="G32" s="4">
        <v>0.46458333333333451</v>
      </c>
    </row>
    <row r="33" spans="2:7" x14ac:dyDescent="0.3">
      <c r="B33" s="4" t="s">
        <v>110</v>
      </c>
      <c r="C33" s="4" t="s">
        <v>111</v>
      </c>
      <c r="D33" s="4">
        <v>0.86250000000000404</v>
      </c>
      <c r="E33" s="4" t="s">
        <v>112</v>
      </c>
      <c r="F33" s="4" t="s">
        <v>103</v>
      </c>
      <c r="G33" s="4">
        <v>0.52916666666667134</v>
      </c>
    </row>
    <row r="34" spans="2:7" x14ac:dyDescent="0.3">
      <c r="B34" s="4" t="s">
        <v>113</v>
      </c>
      <c r="C34" s="4" t="s">
        <v>114</v>
      </c>
      <c r="D34" s="4">
        <v>0.56875000000000719</v>
      </c>
      <c r="E34" s="4" t="s">
        <v>115</v>
      </c>
      <c r="F34" s="4" t="s">
        <v>103</v>
      </c>
      <c r="G34" s="4">
        <v>6.8750000000008138E-2</v>
      </c>
    </row>
    <row r="35" spans="2:7" x14ac:dyDescent="0.3">
      <c r="B35" s="4" t="s">
        <v>116</v>
      </c>
      <c r="C35" s="4" t="s">
        <v>117</v>
      </c>
      <c r="D35" s="4">
        <v>0.60000000000000364</v>
      </c>
      <c r="E35" s="4" t="s">
        <v>118</v>
      </c>
      <c r="F35" s="4" t="s">
        <v>103</v>
      </c>
      <c r="G35" s="4">
        <v>0.40000000000000402</v>
      </c>
    </row>
    <row r="36" spans="2:7" ht="15" customHeight="1" thickBot="1" x14ac:dyDescent="0.35">
      <c r="B36" s="2" t="s">
        <v>119</v>
      </c>
      <c r="C36" s="2" t="s">
        <v>120</v>
      </c>
      <c r="D36" s="2">
        <v>1.3749999999999949</v>
      </c>
      <c r="E36" s="2" t="s">
        <v>121</v>
      </c>
      <c r="F36" s="2" t="s">
        <v>103</v>
      </c>
      <c r="G36" s="2">
        <v>0.77499999999999625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36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21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64</v>
      </c>
    </row>
    <row r="3" spans="1:5" x14ac:dyDescent="0.3">
      <c r="A3" s="1" t="s">
        <v>126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69</v>
      </c>
    </row>
    <row r="8" spans="1:5" x14ac:dyDescent="0.3">
      <c r="A8" s="1"/>
      <c r="B8" t="s">
        <v>125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79</v>
      </c>
      <c r="D16" s="2">
        <v>0.66666666666666541</v>
      </c>
      <c r="E16" s="2">
        <v>0.58931860036832329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83</v>
      </c>
      <c r="D21" s="4">
        <v>5.0000000000001877E-4</v>
      </c>
      <c r="E21" s="4">
        <v>4.4198895027625979E-4</v>
      </c>
      <c r="F21" s="4" t="s">
        <v>84</v>
      </c>
    </row>
    <row r="22" spans="1:7" x14ac:dyDescent="0.3">
      <c r="B22" s="4" t="s">
        <v>85</v>
      </c>
      <c r="C22" s="4" t="s">
        <v>86</v>
      </c>
      <c r="D22" s="4">
        <v>2.124999999999985E-3</v>
      </c>
      <c r="E22" s="4">
        <v>1.8784530386740221E-3</v>
      </c>
      <c r="F22" s="4" t="s">
        <v>84</v>
      </c>
    </row>
    <row r="23" spans="1:7" ht="15" customHeight="1" thickBot="1" x14ac:dyDescent="0.35">
      <c r="B23" s="2" t="s">
        <v>87</v>
      </c>
      <c r="C23" s="2" t="s">
        <v>86</v>
      </c>
      <c r="D23" s="2">
        <v>0.3333333333333327</v>
      </c>
      <c r="E23" s="2">
        <v>0.29465930018416159</v>
      </c>
      <c r="F23" s="2" t="s">
        <v>84</v>
      </c>
    </row>
    <row r="26" spans="1:7" ht="15" customHeight="1" thickBot="1" x14ac:dyDescent="0.35">
      <c r="A26" t="s">
        <v>88</v>
      </c>
    </row>
    <row r="27" spans="1:7" ht="15" customHeight="1" thickBot="1" x14ac:dyDescent="0.35">
      <c r="B27" s="3" t="s">
        <v>44</v>
      </c>
      <c r="C27" s="3" t="s">
        <v>75</v>
      </c>
      <c r="D27" s="3" t="s">
        <v>89</v>
      </c>
      <c r="E27" s="3" t="s">
        <v>90</v>
      </c>
      <c r="F27" s="3" t="s">
        <v>91</v>
      </c>
      <c r="G27" s="3" t="s">
        <v>92</v>
      </c>
    </row>
    <row r="28" spans="1:7" x14ac:dyDescent="0.3">
      <c r="B28" s="4" t="s">
        <v>93</v>
      </c>
      <c r="C28" s="4" t="s">
        <v>94</v>
      </c>
      <c r="D28" s="4">
        <v>1.0000000000000011</v>
      </c>
      <c r="E28" s="4" t="s">
        <v>95</v>
      </c>
      <c r="F28" s="4" t="s">
        <v>96</v>
      </c>
      <c r="G28" s="4">
        <v>0</v>
      </c>
    </row>
    <row r="29" spans="1:7" x14ac:dyDescent="0.3">
      <c r="B29" s="4" t="s">
        <v>97</v>
      </c>
      <c r="C29" s="4" t="s">
        <v>98</v>
      </c>
      <c r="D29" s="4">
        <v>0.61878453038674719</v>
      </c>
      <c r="E29" s="4" t="s">
        <v>99</v>
      </c>
      <c r="F29" s="4" t="s">
        <v>96</v>
      </c>
      <c r="G29" s="4">
        <v>0</v>
      </c>
    </row>
    <row r="30" spans="1:7" x14ac:dyDescent="0.3">
      <c r="B30" s="4" t="s">
        <v>100</v>
      </c>
      <c r="C30" s="4" t="s">
        <v>101</v>
      </c>
      <c r="D30" s="4">
        <v>0.4585635359116072</v>
      </c>
      <c r="E30" s="4" t="s">
        <v>102</v>
      </c>
      <c r="F30" s="4" t="s">
        <v>103</v>
      </c>
      <c r="G30" s="4">
        <v>0.31123388581952638</v>
      </c>
    </row>
    <row r="31" spans="1:7" x14ac:dyDescent="0.3">
      <c r="B31" s="4" t="s">
        <v>104</v>
      </c>
      <c r="C31" s="4" t="s">
        <v>105</v>
      </c>
      <c r="D31" s="4">
        <v>0.8839779005524866</v>
      </c>
      <c r="E31" s="4" t="s">
        <v>106</v>
      </c>
      <c r="F31" s="4" t="s">
        <v>96</v>
      </c>
      <c r="G31" s="4">
        <v>0</v>
      </c>
    </row>
    <row r="32" spans="1:7" x14ac:dyDescent="0.3">
      <c r="B32" s="4" t="s">
        <v>107</v>
      </c>
      <c r="C32" s="4" t="s">
        <v>108</v>
      </c>
      <c r="D32" s="4">
        <v>1.0000000000000011</v>
      </c>
      <c r="E32" s="4" t="s">
        <v>109</v>
      </c>
      <c r="F32" s="4" t="s">
        <v>103</v>
      </c>
      <c r="G32" s="4">
        <v>0.41068139963167738</v>
      </c>
    </row>
    <row r="33" spans="2:7" x14ac:dyDescent="0.3">
      <c r="B33" s="4" t="s">
        <v>110</v>
      </c>
      <c r="C33" s="4" t="s">
        <v>111</v>
      </c>
      <c r="D33" s="4">
        <v>0.76243093922652339</v>
      </c>
      <c r="E33" s="4" t="s">
        <v>112</v>
      </c>
      <c r="F33" s="4" t="s">
        <v>103</v>
      </c>
      <c r="G33" s="4">
        <v>0.46777163904236169</v>
      </c>
    </row>
    <row r="34" spans="2:7" x14ac:dyDescent="0.3">
      <c r="B34" s="4" t="s">
        <v>113</v>
      </c>
      <c r="C34" s="4" t="s">
        <v>114</v>
      </c>
      <c r="D34" s="4">
        <v>0.50276243093923312</v>
      </c>
      <c r="E34" s="4" t="s">
        <v>115</v>
      </c>
      <c r="F34" s="4" t="s">
        <v>103</v>
      </c>
      <c r="G34" s="4">
        <v>6.0773480662990653E-2</v>
      </c>
    </row>
    <row r="35" spans="2:7" x14ac:dyDescent="0.3">
      <c r="B35" s="4" t="s">
        <v>116</v>
      </c>
      <c r="C35" s="4" t="s">
        <v>117</v>
      </c>
      <c r="D35" s="4">
        <v>0.53038674033149524</v>
      </c>
      <c r="E35" s="4" t="s">
        <v>118</v>
      </c>
      <c r="F35" s="4" t="s">
        <v>103</v>
      </c>
      <c r="G35" s="4">
        <v>0.35359116022099818</v>
      </c>
    </row>
    <row r="36" spans="2:7" ht="15" customHeight="1" thickBot="1" x14ac:dyDescent="0.35">
      <c r="B36" s="2" t="s">
        <v>119</v>
      </c>
      <c r="C36" s="2" t="s">
        <v>120</v>
      </c>
      <c r="D36" s="2">
        <v>1.215469613259665</v>
      </c>
      <c r="E36" s="2" t="s">
        <v>121</v>
      </c>
      <c r="F36" s="2" t="s">
        <v>103</v>
      </c>
      <c r="G36" s="2">
        <v>0.68508287292817394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G36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21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64</v>
      </c>
    </row>
    <row r="3" spans="1:5" x14ac:dyDescent="0.3">
      <c r="A3" s="1" t="s">
        <v>127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69</v>
      </c>
    </row>
    <row r="8" spans="1:5" x14ac:dyDescent="0.3">
      <c r="A8" s="1"/>
      <c r="B8" t="s">
        <v>125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79</v>
      </c>
      <c r="D16" s="2">
        <v>0.29465930018416159</v>
      </c>
      <c r="E16" s="2">
        <v>0.38647342995168837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83</v>
      </c>
      <c r="D21" s="4">
        <v>4.4198895027625979E-4</v>
      </c>
      <c r="E21" s="4">
        <v>5.7971014492755552E-4</v>
      </c>
      <c r="F21" s="4" t="s">
        <v>84</v>
      </c>
    </row>
    <row r="22" spans="1:7" x14ac:dyDescent="0.3">
      <c r="B22" s="4" t="s">
        <v>85</v>
      </c>
      <c r="C22" s="4" t="s">
        <v>86</v>
      </c>
      <c r="D22" s="4">
        <v>1.8784530386740221E-3</v>
      </c>
      <c r="E22" s="4">
        <v>2.463768115942002E-3</v>
      </c>
      <c r="F22" s="4" t="s">
        <v>84</v>
      </c>
    </row>
    <row r="23" spans="1:7" ht="15" customHeight="1" thickBot="1" x14ac:dyDescent="0.35">
      <c r="B23" s="2" t="s">
        <v>87</v>
      </c>
      <c r="C23" s="2" t="s">
        <v>86</v>
      </c>
      <c r="D23" s="2">
        <v>0.29465930018416159</v>
      </c>
      <c r="E23" s="2">
        <v>0.38647342995168837</v>
      </c>
      <c r="F23" s="2" t="s">
        <v>84</v>
      </c>
    </row>
    <row r="26" spans="1:7" ht="15" customHeight="1" thickBot="1" x14ac:dyDescent="0.35">
      <c r="A26" t="s">
        <v>88</v>
      </c>
    </row>
    <row r="27" spans="1:7" ht="15" customHeight="1" thickBot="1" x14ac:dyDescent="0.35">
      <c r="B27" s="3" t="s">
        <v>44</v>
      </c>
      <c r="C27" s="3" t="s">
        <v>75</v>
      </c>
      <c r="D27" s="3" t="s">
        <v>89</v>
      </c>
      <c r="E27" s="3" t="s">
        <v>90</v>
      </c>
      <c r="F27" s="3" t="s">
        <v>91</v>
      </c>
      <c r="G27" s="3" t="s">
        <v>92</v>
      </c>
    </row>
    <row r="28" spans="1:7" x14ac:dyDescent="0.3">
      <c r="B28" s="4" t="s">
        <v>93</v>
      </c>
      <c r="C28" s="4" t="s">
        <v>94</v>
      </c>
      <c r="D28" s="4">
        <v>1</v>
      </c>
      <c r="E28" s="4" t="s">
        <v>95</v>
      </c>
      <c r="F28" s="4" t="s">
        <v>96</v>
      </c>
      <c r="G28" s="4">
        <v>0</v>
      </c>
    </row>
    <row r="29" spans="1:7" x14ac:dyDescent="0.3">
      <c r="B29" s="4" t="s">
        <v>97</v>
      </c>
      <c r="C29" s="4" t="s">
        <v>98</v>
      </c>
      <c r="D29" s="4">
        <v>0.81159420289855588</v>
      </c>
      <c r="E29" s="4" t="s">
        <v>99</v>
      </c>
      <c r="F29" s="4" t="s">
        <v>96</v>
      </c>
      <c r="G29" s="4">
        <v>0</v>
      </c>
    </row>
    <row r="30" spans="1:7" x14ac:dyDescent="0.3">
      <c r="B30" s="4" t="s">
        <v>100</v>
      </c>
      <c r="C30" s="4" t="s">
        <v>101</v>
      </c>
      <c r="D30" s="4">
        <v>0.60144927536232251</v>
      </c>
      <c r="E30" s="4" t="s">
        <v>102</v>
      </c>
      <c r="F30" s="4" t="s">
        <v>103</v>
      </c>
      <c r="G30" s="4">
        <v>0.4082125603864783</v>
      </c>
    </row>
    <row r="31" spans="1:7" x14ac:dyDescent="0.3">
      <c r="B31" s="4" t="s">
        <v>104</v>
      </c>
      <c r="C31" s="4" t="s">
        <v>105</v>
      </c>
      <c r="D31" s="4">
        <v>1.159420289855067</v>
      </c>
      <c r="E31" s="4" t="s">
        <v>106</v>
      </c>
      <c r="F31" s="4" t="s">
        <v>96</v>
      </c>
      <c r="G31" s="4">
        <v>0</v>
      </c>
    </row>
    <row r="32" spans="1:7" x14ac:dyDescent="0.3">
      <c r="B32" s="4" t="s">
        <v>107</v>
      </c>
      <c r="C32" s="4" t="s">
        <v>108</v>
      </c>
      <c r="D32" s="4">
        <v>1.311594202898545</v>
      </c>
      <c r="E32" s="4" t="s">
        <v>109</v>
      </c>
      <c r="F32" s="4" t="s">
        <v>103</v>
      </c>
      <c r="G32" s="4">
        <v>0.53864734299516837</v>
      </c>
    </row>
    <row r="33" spans="2:7" x14ac:dyDescent="0.3">
      <c r="B33" s="4" t="s">
        <v>110</v>
      </c>
      <c r="C33" s="4" t="s">
        <v>111</v>
      </c>
      <c r="D33" s="4">
        <v>1</v>
      </c>
      <c r="E33" s="4" t="s">
        <v>112</v>
      </c>
      <c r="F33" s="4" t="s">
        <v>103</v>
      </c>
      <c r="G33" s="4">
        <v>0.61352657004831201</v>
      </c>
    </row>
    <row r="34" spans="2:7" x14ac:dyDescent="0.3">
      <c r="B34" s="4" t="s">
        <v>113</v>
      </c>
      <c r="C34" s="4" t="s">
        <v>114</v>
      </c>
      <c r="D34" s="4">
        <v>0.65942028985507806</v>
      </c>
      <c r="E34" s="4" t="s">
        <v>115</v>
      </c>
      <c r="F34" s="4" t="s">
        <v>103</v>
      </c>
      <c r="G34" s="4">
        <v>7.9710144927545468E-2</v>
      </c>
    </row>
    <row r="35" spans="2:7" x14ac:dyDescent="0.3">
      <c r="B35" s="4" t="s">
        <v>116</v>
      </c>
      <c r="C35" s="4" t="s">
        <v>117</v>
      </c>
      <c r="D35" s="4">
        <v>0.69565217391304479</v>
      </c>
      <c r="E35" s="4" t="s">
        <v>118</v>
      </c>
      <c r="F35" s="4" t="s">
        <v>103</v>
      </c>
      <c r="G35" s="4">
        <v>0.46376811594203171</v>
      </c>
    </row>
    <row r="36" spans="2:7" ht="15" customHeight="1" thickBot="1" x14ac:dyDescent="0.35">
      <c r="B36" s="2" t="s">
        <v>119</v>
      </c>
      <c r="C36" s="2" t="s">
        <v>120</v>
      </c>
      <c r="D36" s="2">
        <v>1.594202898550712</v>
      </c>
      <c r="E36" s="2" t="s">
        <v>121</v>
      </c>
      <c r="F36" s="2" t="s">
        <v>103</v>
      </c>
      <c r="G36" s="2">
        <v>0.89855072463767294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36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21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64</v>
      </c>
    </row>
    <row r="3" spans="1:5" x14ac:dyDescent="0.3">
      <c r="A3" s="1" t="s">
        <v>128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69</v>
      </c>
    </row>
    <row r="8" spans="1:5" x14ac:dyDescent="0.3">
      <c r="A8" s="1"/>
      <c r="B8" t="s">
        <v>129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79</v>
      </c>
      <c r="D16" s="2">
        <v>0.57971014492753259</v>
      </c>
      <c r="E16" s="2">
        <v>0.95238095238093878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83</v>
      </c>
      <c r="D21" s="4">
        <v>5.7971014492755552E-4</v>
      </c>
      <c r="E21" s="4">
        <v>0</v>
      </c>
      <c r="F21" s="4" t="s">
        <v>84</v>
      </c>
    </row>
    <row r="22" spans="1:7" x14ac:dyDescent="0.3">
      <c r="B22" s="4" t="s">
        <v>85</v>
      </c>
      <c r="C22" s="4" t="s">
        <v>86</v>
      </c>
      <c r="D22" s="4">
        <v>2.463768115942002E-3</v>
      </c>
      <c r="E22" s="4">
        <v>6.6666666666666628E-3</v>
      </c>
      <c r="F22" s="4" t="s">
        <v>84</v>
      </c>
    </row>
    <row r="23" spans="1:7" ht="15" customHeight="1" thickBot="1" x14ac:dyDescent="0.35">
      <c r="B23" s="2" t="s">
        <v>87</v>
      </c>
      <c r="C23" s="2" t="s">
        <v>86</v>
      </c>
      <c r="D23" s="2">
        <v>0.38647342995168837</v>
      </c>
      <c r="E23" s="2">
        <v>0.63492063492062589</v>
      </c>
      <c r="F23" s="2" t="s">
        <v>84</v>
      </c>
    </row>
    <row r="26" spans="1:7" ht="15" customHeight="1" thickBot="1" x14ac:dyDescent="0.35">
      <c r="A26" t="s">
        <v>88</v>
      </c>
    </row>
    <row r="27" spans="1:7" ht="15" customHeight="1" thickBot="1" x14ac:dyDescent="0.35">
      <c r="B27" s="3" t="s">
        <v>44</v>
      </c>
      <c r="C27" s="3" t="s">
        <v>75</v>
      </c>
      <c r="D27" s="3" t="s">
        <v>89</v>
      </c>
      <c r="E27" s="3" t="s">
        <v>90</v>
      </c>
      <c r="F27" s="3" t="s">
        <v>91</v>
      </c>
      <c r="G27" s="3" t="s">
        <v>92</v>
      </c>
    </row>
    <row r="28" spans="1:7" x14ac:dyDescent="0.3">
      <c r="B28" s="4" t="s">
        <v>93</v>
      </c>
      <c r="C28" s="4" t="s">
        <v>94</v>
      </c>
      <c r="D28" s="4">
        <v>0.99999999999999944</v>
      </c>
      <c r="E28" s="4" t="s">
        <v>95</v>
      </c>
      <c r="F28" s="4" t="s">
        <v>96</v>
      </c>
      <c r="G28" s="4">
        <v>0</v>
      </c>
    </row>
    <row r="29" spans="1:7" x14ac:dyDescent="0.3">
      <c r="B29" s="4" t="s">
        <v>97</v>
      </c>
      <c r="C29" s="4" t="s">
        <v>98</v>
      </c>
      <c r="D29" s="4">
        <v>1.333333333333333</v>
      </c>
      <c r="E29" s="4" t="s">
        <v>99</v>
      </c>
      <c r="F29" s="4" t="s">
        <v>96</v>
      </c>
      <c r="G29" s="4">
        <v>0</v>
      </c>
    </row>
    <row r="30" spans="1:7" x14ac:dyDescent="0.3">
      <c r="B30" s="4" t="s">
        <v>100</v>
      </c>
      <c r="C30" s="4" t="s">
        <v>101</v>
      </c>
      <c r="D30" s="4">
        <v>0.99999999999999944</v>
      </c>
      <c r="E30" s="4" t="s">
        <v>102</v>
      </c>
      <c r="F30" s="4" t="s">
        <v>103</v>
      </c>
      <c r="G30" s="4">
        <v>0.68253968253968655</v>
      </c>
    </row>
    <row r="31" spans="1:7" x14ac:dyDescent="0.3">
      <c r="B31" s="4" t="s">
        <v>104</v>
      </c>
      <c r="C31" s="4" t="s">
        <v>105</v>
      </c>
      <c r="D31" s="4">
        <v>2.6666666666666652</v>
      </c>
      <c r="E31" s="4" t="s">
        <v>106</v>
      </c>
      <c r="F31" s="4" t="s">
        <v>103</v>
      </c>
      <c r="G31" s="4">
        <v>0.76190476190478762</v>
      </c>
    </row>
    <row r="32" spans="1:7" x14ac:dyDescent="0.3">
      <c r="B32" s="4" t="s">
        <v>107</v>
      </c>
      <c r="C32" s="4" t="s">
        <v>108</v>
      </c>
      <c r="D32" s="4">
        <v>2.9999999999999978</v>
      </c>
      <c r="E32" s="4" t="s">
        <v>109</v>
      </c>
      <c r="F32" s="4" t="s">
        <v>103</v>
      </c>
      <c r="G32" s="4">
        <v>1.730158730158746</v>
      </c>
    </row>
    <row r="33" spans="2:7" x14ac:dyDescent="0.3">
      <c r="B33" s="4" t="s">
        <v>110</v>
      </c>
      <c r="C33" s="4" t="s">
        <v>111</v>
      </c>
      <c r="D33" s="4">
        <v>1.9999999999999989</v>
      </c>
      <c r="E33" s="4" t="s">
        <v>112</v>
      </c>
      <c r="F33" s="4" t="s">
        <v>103</v>
      </c>
      <c r="G33" s="4">
        <v>1.3650793650793731</v>
      </c>
    </row>
    <row r="34" spans="2:7" x14ac:dyDescent="0.3">
      <c r="B34" s="4" t="s">
        <v>113</v>
      </c>
      <c r="C34" s="4" t="s">
        <v>114</v>
      </c>
      <c r="D34" s="4">
        <v>0.99999999999999944</v>
      </c>
      <c r="E34" s="4" t="s">
        <v>115</v>
      </c>
      <c r="F34" s="4" t="s">
        <v>103</v>
      </c>
      <c r="G34" s="4">
        <v>4.7619047619060662E-2</v>
      </c>
    </row>
    <row r="35" spans="2:7" x14ac:dyDescent="0.3">
      <c r="B35" s="4" t="s">
        <v>116</v>
      </c>
      <c r="C35" s="4" t="s">
        <v>117</v>
      </c>
      <c r="D35" s="4">
        <v>1.333333333333333</v>
      </c>
      <c r="E35" s="4" t="s">
        <v>118</v>
      </c>
      <c r="F35" s="4" t="s">
        <v>103</v>
      </c>
      <c r="G35" s="4">
        <v>0.95238095238095699</v>
      </c>
    </row>
    <row r="36" spans="2:7" ht="15" customHeight="1" thickBot="1" x14ac:dyDescent="0.35">
      <c r="B36" s="2" t="s">
        <v>119</v>
      </c>
      <c r="C36" s="2" t="s">
        <v>120</v>
      </c>
      <c r="D36" s="2">
        <v>3.9999999999999978</v>
      </c>
      <c r="E36" s="2" t="s">
        <v>121</v>
      </c>
      <c r="F36" s="2" t="s">
        <v>103</v>
      </c>
      <c r="G36" s="2">
        <v>2.857142857142871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G36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21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64</v>
      </c>
    </row>
    <row r="3" spans="1:5" x14ac:dyDescent="0.3">
      <c r="A3" s="1" t="s">
        <v>130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131</v>
      </c>
    </row>
    <row r="8" spans="1:5" x14ac:dyDescent="0.3">
      <c r="A8" s="1"/>
      <c r="B8" t="s">
        <v>125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79</v>
      </c>
      <c r="D16" s="2">
        <v>0.38095238095237549</v>
      </c>
      <c r="E16" s="2">
        <v>0.33333333333333087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83</v>
      </c>
      <c r="D21" s="4">
        <v>0</v>
      </c>
      <c r="E21" s="4">
        <v>8.3333333333336028E-4</v>
      </c>
      <c r="F21" s="4" t="s">
        <v>84</v>
      </c>
    </row>
    <row r="22" spans="1:7" x14ac:dyDescent="0.3">
      <c r="B22" s="4" t="s">
        <v>85</v>
      </c>
      <c r="C22" s="4" t="s">
        <v>86</v>
      </c>
      <c r="D22" s="4">
        <v>6.6666666666666628E-3</v>
      </c>
      <c r="E22" s="4">
        <v>3.541666666666624E-3</v>
      </c>
      <c r="F22" s="4" t="s">
        <v>84</v>
      </c>
    </row>
    <row r="23" spans="1:7" ht="15" customHeight="1" thickBot="1" x14ac:dyDescent="0.35">
      <c r="B23" s="2" t="s">
        <v>87</v>
      </c>
      <c r="C23" s="2" t="s">
        <v>86</v>
      </c>
      <c r="D23" s="2">
        <v>0.63492063492062589</v>
      </c>
      <c r="E23" s="2">
        <v>0.55555555555555158</v>
      </c>
      <c r="F23" s="2" t="s">
        <v>84</v>
      </c>
    </row>
    <row r="26" spans="1:7" ht="15" customHeight="1" thickBot="1" x14ac:dyDescent="0.35">
      <c r="A26" t="s">
        <v>88</v>
      </c>
    </row>
    <row r="27" spans="1:7" ht="15" customHeight="1" thickBot="1" x14ac:dyDescent="0.35">
      <c r="B27" s="3" t="s">
        <v>44</v>
      </c>
      <c r="C27" s="3" t="s">
        <v>75</v>
      </c>
      <c r="D27" s="3" t="s">
        <v>89</v>
      </c>
      <c r="E27" s="3" t="s">
        <v>90</v>
      </c>
      <c r="F27" s="3" t="s">
        <v>91</v>
      </c>
      <c r="G27" s="3" t="s">
        <v>92</v>
      </c>
    </row>
    <row r="28" spans="1:7" x14ac:dyDescent="0.3">
      <c r="B28" s="4" t="s">
        <v>93</v>
      </c>
      <c r="C28" s="4" t="s">
        <v>94</v>
      </c>
      <c r="D28" s="4">
        <v>1.0000000000000011</v>
      </c>
      <c r="E28" s="4" t="s">
        <v>95</v>
      </c>
      <c r="F28" s="4" t="s">
        <v>96</v>
      </c>
      <c r="G28" s="4">
        <v>0</v>
      </c>
    </row>
    <row r="29" spans="1:7" x14ac:dyDescent="0.3">
      <c r="B29" s="4" t="s">
        <v>97</v>
      </c>
      <c r="C29" s="4" t="s">
        <v>98</v>
      </c>
      <c r="D29" s="4">
        <v>1.166666666666673</v>
      </c>
      <c r="E29" s="4" t="s">
        <v>99</v>
      </c>
      <c r="F29" s="4" t="s">
        <v>96</v>
      </c>
      <c r="G29" s="4">
        <v>0</v>
      </c>
    </row>
    <row r="30" spans="1:7" x14ac:dyDescent="0.3">
      <c r="B30" s="4" t="s">
        <v>100</v>
      </c>
      <c r="C30" s="4" t="s">
        <v>101</v>
      </c>
      <c r="D30" s="4">
        <v>0.8645833333333377</v>
      </c>
      <c r="E30" s="4" t="s">
        <v>102</v>
      </c>
      <c r="F30" s="4" t="s">
        <v>103</v>
      </c>
      <c r="G30" s="4">
        <v>0.58680555555556191</v>
      </c>
    </row>
    <row r="31" spans="1:7" x14ac:dyDescent="0.3">
      <c r="B31" s="4" t="s">
        <v>104</v>
      </c>
      <c r="C31" s="4" t="s">
        <v>105</v>
      </c>
      <c r="D31" s="4">
        <v>1.6666666666666581</v>
      </c>
      <c r="E31" s="4" t="s">
        <v>106</v>
      </c>
      <c r="F31" s="4" t="s">
        <v>96</v>
      </c>
      <c r="G31" s="4">
        <v>0</v>
      </c>
    </row>
    <row r="32" spans="1:7" x14ac:dyDescent="0.3">
      <c r="B32" s="4" t="s">
        <v>107</v>
      </c>
      <c r="C32" s="4" t="s">
        <v>108</v>
      </c>
      <c r="D32" s="4">
        <v>1.885416666666657</v>
      </c>
      <c r="E32" s="4" t="s">
        <v>109</v>
      </c>
      <c r="F32" s="4" t="s">
        <v>103</v>
      </c>
      <c r="G32" s="4">
        <v>0.7743055555555538</v>
      </c>
    </row>
    <row r="33" spans="2:7" x14ac:dyDescent="0.3">
      <c r="B33" s="4" t="s">
        <v>110</v>
      </c>
      <c r="C33" s="4" t="s">
        <v>111</v>
      </c>
      <c r="D33" s="4">
        <v>1.4375</v>
      </c>
      <c r="E33" s="4" t="s">
        <v>112</v>
      </c>
      <c r="F33" s="4" t="s">
        <v>103</v>
      </c>
      <c r="G33" s="4">
        <v>0.88194444444444797</v>
      </c>
    </row>
    <row r="34" spans="2:7" x14ac:dyDescent="0.3">
      <c r="B34" s="4" t="s">
        <v>113</v>
      </c>
      <c r="C34" s="4" t="s">
        <v>114</v>
      </c>
      <c r="D34" s="4">
        <v>0.94791666666667385</v>
      </c>
      <c r="E34" s="4" t="s">
        <v>115</v>
      </c>
      <c r="F34" s="4" t="s">
        <v>103</v>
      </c>
      <c r="G34" s="4">
        <v>0.1145833333333465</v>
      </c>
    </row>
    <row r="35" spans="2:7" x14ac:dyDescent="0.3">
      <c r="B35" s="4" t="s">
        <v>116</v>
      </c>
      <c r="C35" s="4" t="s">
        <v>117</v>
      </c>
      <c r="D35" s="4">
        <v>1.0000000000000011</v>
      </c>
      <c r="E35" s="4" t="s">
        <v>118</v>
      </c>
      <c r="F35" s="4" t="s">
        <v>103</v>
      </c>
      <c r="G35" s="4">
        <v>0.66666666666667018</v>
      </c>
    </row>
    <row r="36" spans="2:7" ht="15" customHeight="1" thickBot="1" x14ac:dyDescent="0.35">
      <c r="B36" s="2" t="s">
        <v>119</v>
      </c>
      <c r="C36" s="2" t="s">
        <v>120</v>
      </c>
      <c r="D36" s="2">
        <v>2.291666666666647</v>
      </c>
      <c r="E36" s="2" t="s">
        <v>121</v>
      </c>
      <c r="F36" s="2" t="s">
        <v>103</v>
      </c>
      <c r="G36" s="2">
        <v>1.2916666666666541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36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21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5.33203125" bestFit="1" customWidth="1"/>
  </cols>
  <sheetData>
    <row r="1" spans="1:5" x14ac:dyDescent="0.3">
      <c r="A1" s="1" t="s">
        <v>63</v>
      </c>
    </row>
    <row r="2" spans="1:5" x14ac:dyDescent="0.3">
      <c r="A2" s="1" t="s">
        <v>64</v>
      </c>
    </row>
    <row r="3" spans="1:5" x14ac:dyDescent="0.3">
      <c r="A3" s="1" t="s">
        <v>132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69</v>
      </c>
    </row>
    <row r="8" spans="1:5" x14ac:dyDescent="0.3">
      <c r="A8" s="1"/>
      <c r="B8" t="s">
        <v>129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79</v>
      </c>
      <c r="D16" s="2">
        <v>0.99999999999999289</v>
      </c>
      <c r="E16" s="2">
        <v>0.89999999999996438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83</v>
      </c>
      <c r="D21" s="4">
        <v>8.3333333333336028E-4</v>
      </c>
      <c r="E21" s="4">
        <v>4.9999999999998639E-3</v>
      </c>
      <c r="F21" s="4" t="s">
        <v>84</v>
      </c>
    </row>
    <row r="22" spans="1:7" x14ac:dyDescent="0.3">
      <c r="B22" s="4" t="s">
        <v>85</v>
      </c>
      <c r="C22" s="4" t="s">
        <v>86</v>
      </c>
      <c r="D22" s="4">
        <v>3.541666666666624E-3</v>
      </c>
      <c r="E22" s="4">
        <v>0</v>
      </c>
      <c r="F22" s="4" t="s">
        <v>84</v>
      </c>
    </row>
    <row r="23" spans="1:7" ht="15" customHeight="1" thickBot="1" x14ac:dyDescent="0.35">
      <c r="B23" s="2" t="s">
        <v>87</v>
      </c>
      <c r="C23" s="2" t="s">
        <v>86</v>
      </c>
      <c r="D23" s="2">
        <v>0.55555555555555158</v>
      </c>
      <c r="E23" s="2">
        <v>0.49999999999998018</v>
      </c>
      <c r="F23" s="2" t="s">
        <v>84</v>
      </c>
    </row>
    <row r="26" spans="1:7" ht="15" customHeight="1" thickBot="1" x14ac:dyDescent="0.35">
      <c r="A26" t="s">
        <v>88</v>
      </c>
    </row>
    <row r="27" spans="1:7" ht="15" customHeight="1" thickBot="1" x14ac:dyDescent="0.35">
      <c r="B27" s="3" t="s">
        <v>44</v>
      </c>
      <c r="C27" s="3" t="s">
        <v>75</v>
      </c>
      <c r="D27" s="3" t="s">
        <v>89</v>
      </c>
      <c r="E27" s="3" t="s">
        <v>90</v>
      </c>
      <c r="F27" s="3" t="s">
        <v>91</v>
      </c>
      <c r="G27" s="3" t="s">
        <v>92</v>
      </c>
    </row>
    <row r="28" spans="1:7" x14ac:dyDescent="0.3">
      <c r="B28" s="4" t="s">
        <v>93</v>
      </c>
      <c r="C28" s="4" t="s">
        <v>94</v>
      </c>
      <c r="D28" s="4">
        <v>0.9999999999999728</v>
      </c>
      <c r="E28" s="4" t="s">
        <v>95</v>
      </c>
      <c r="F28" s="4" t="s">
        <v>96</v>
      </c>
      <c r="G28" s="4">
        <v>0</v>
      </c>
    </row>
    <row r="29" spans="1:7" x14ac:dyDescent="0.3">
      <c r="B29" s="4" t="s">
        <v>97</v>
      </c>
      <c r="C29" s="4" t="s">
        <v>98</v>
      </c>
      <c r="D29" s="4">
        <v>2.7499999999999249</v>
      </c>
      <c r="E29" s="4" t="s">
        <v>99</v>
      </c>
      <c r="F29" s="4" t="s">
        <v>103</v>
      </c>
      <c r="G29" s="4">
        <v>1.699999999999966</v>
      </c>
    </row>
    <row r="30" spans="1:7" x14ac:dyDescent="0.3">
      <c r="B30" s="4" t="s">
        <v>100</v>
      </c>
      <c r="C30" s="4" t="s">
        <v>101</v>
      </c>
      <c r="D30" s="4">
        <v>1.999999999999946</v>
      </c>
      <c r="E30" s="4" t="s">
        <v>102</v>
      </c>
      <c r="F30" s="4" t="s">
        <v>103</v>
      </c>
      <c r="G30" s="4">
        <v>1.749999999999956</v>
      </c>
    </row>
    <row r="31" spans="1:7" x14ac:dyDescent="0.3">
      <c r="B31" s="4" t="s">
        <v>104</v>
      </c>
      <c r="C31" s="4" t="s">
        <v>105</v>
      </c>
      <c r="D31" s="4">
        <v>1.4999999999999589</v>
      </c>
      <c r="E31" s="4" t="s">
        <v>106</v>
      </c>
      <c r="F31" s="4" t="s">
        <v>96</v>
      </c>
      <c r="G31" s="4">
        <v>0</v>
      </c>
    </row>
    <row r="32" spans="1:7" x14ac:dyDescent="0.3">
      <c r="B32" s="4" t="s">
        <v>107</v>
      </c>
      <c r="C32" s="4" t="s">
        <v>108</v>
      </c>
      <c r="D32" s="4">
        <v>1.749999999999952</v>
      </c>
      <c r="E32" s="4" t="s">
        <v>109</v>
      </c>
      <c r="F32" s="4" t="s">
        <v>103</v>
      </c>
      <c r="G32" s="4">
        <v>0.74999999999999212</v>
      </c>
    </row>
    <row r="33" spans="2:7" x14ac:dyDescent="0.3">
      <c r="B33" s="4" t="s">
        <v>110</v>
      </c>
      <c r="C33" s="4" t="s">
        <v>111</v>
      </c>
      <c r="D33" s="4">
        <v>2.2499999999999392</v>
      </c>
      <c r="E33" s="4" t="s">
        <v>112</v>
      </c>
      <c r="F33" s="4" t="s">
        <v>103</v>
      </c>
      <c r="G33" s="4">
        <v>1.749999999999958</v>
      </c>
    </row>
    <row r="34" spans="2:7" x14ac:dyDescent="0.3">
      <c r="B34" s="4" t="s">
        <v>113</v>
      </c>
      <c r="C34" s="4" t="s">
        <v>114</v>
      </c>
      <c r="D34" s="4">
        <v>2.4999999999999321</v>
      </c>
      <c r="E34" s="4" t="s">
        <v>115</v>
      </c>
      <c r="F34" s="4" t="s">
        <v>103</v>
      </c>
      <c r="G34" s="4">
        <v>1.749999999999962</v>
      </c>
    </row>
    <row r="35" spans="2:7" x14ac:dyDescent="0.3">
      <c r="B35" s="4" t="s">
        <v>116</v>
      </c>
      <c r="C35" s="4" t="s">
        <v>117</v>
      </c>
      <c r="D35" s="4">
        <v>1.749999999999952</v>
      </c>
      <c r="E35" s="4" t="s">
        <v>118</v>
      </c>
      <c r="F35" s="4" t="s">
        <v>103</v>
      </c>
      <c r="G35" s="4">
        <v>1.449999999999964</v>
      </c>
    </row>
    <row r="36" spans="2:7" ht="15" customHeight="1" thickBot="1" x14ac:dyDescent="0.35">
      <c r="B36" s="2" t="s">
        <v>119</v>
      </c>
      <c r="C36" s="2" t="s">
        <v>120</v>
      </c>
      <c r="D36" s="2">
        <v>0.9999999999999728</v>
      </c>
      <c r="E36" s="2" t="s">
        <v>121</v>
      </c>
      <c r="F36" s="2" t="s">
        <v>103</v>
      </c>
      <c r="G36" s="2">
        <v>0.1000000000000084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U38"/>
  <sheetViews>
    <sheetView zoomScale="85" workbookViewId="0">
      <selection activeCell="D28" sqref="D28"/>
    </sheetView>
  </sheetViews>
  <sheetFormatPr defaultRowHeight="15" x14ac:dyDescent="0.3"/>
  <cols>
    <col min="1" max="1" width="21.6640625" style="8" customWidth="1"/>
    <col min="2" max="2" width="17.44140625" style="8" customWidth="1"/>
    <col min="3" max="3" width="75" style="8" bestFit="1" customWidth="1"/>
    <col min="4" max="4" width="18.5546875" style="8" bestFit="1" customWidth="1"/>
    <col min="5" max="5" width="8.88671875" style="8" customWidth="1"/>
    <col min="6" max="6" width="11.44140625" style="8" customWidth="1"/>
    <col min="7" max="7" width="13.88671875" style="8" bestFit="1" customWidth="1"/>
    <col min="8" max="8" width="12.77734375" style="8" bestFit="1" customWidth="1"/>
    <col min="9" max="9" width="16.109375" style="8" bestFit="1" customWidth="1"/>
    <col min="10" max="13" width="8.88671875" style="8" customWidth="1"/>
    <col min="14" max="16384" width="8.88671875" style="8"/>
  </cols>
  <sheetData>
    <row r="1" spans="1:21" ht="14.4" customHeight="1" x14ac:dyDescent="0.3">
      <c r="A1" s="7" t="s">
        <v>133</v>
      </c>
      <c r="B1" s="7" t="s">
        <v>2</v>
      </c>
      <c r="C1" s="7" t="s">
        <v>134</v>
      </c>
      <c r="D1" s="7" t="s">
        <v>1</v>
      </c>
      <c r="F1" s="7" t="s">
        <v>135</v>
      </c>
      <c r="G1" s="7" t="s">
        <v>6</v>
      </c>
      <c r="H1" s="7" t="s">
        <v>7</v>
      </c>
      <c r="I1" s="7" t="s">
        <v>8</v>
      </c>
      <c r="O1" s="8" t="s">
        <v>136</v>
      </c>
      <c r="Q1" s="8" t="s">
        <v>137</v>
      </c>
      <c r="S1" s="8" t="s">
        <v>138</v>
      </c>
      <c r="U1" s="8" t="s">
        <v>139</v>
      </c>
    </row>
    <row r="2" spans="1:21" x14ac:dyDescent="0.3">
      <c r="A2" s="11" t="s">
        <v>33</v>
      </c>
      <c r="B2" s="11">
        <v>550</v>
      </c>
      <c r="C2" s="11">
        <v>200</v>
      </c>
      <c r="D2" s="11">
        <v>2.1</v>
      </c>
      <c r="F2" s="11">
        <v>1</v>
      </c>
      <c r="G2" s="12">
        <f t="shared" ref="G2:G9" si="0">SUMPRODUCT(B2:C2, $B$12:$C$12)</f>
        <v>2.7499999999999249</v>
      </c>
      <c r="H2" s="11" t="s">
        <v>10</v>
      </c>
      <c r="I2" s="12">
        <f t="shared" ref="I2:I9" si="1">D2 * $D$12</f>
        <v>1.0499999999999585</v>
      </c>
    </row>
    <row r="3" spans="1:21" x14ac:dyDescent="0.3">
      <c r="A3" s="16" t="s">
        <v>34</v>
      </c>
      <c r="B3" s="16">
        <v>400</v>
      </c>
      <c r="C3" s="16">
        <v>150</v>
      </c>
      <c r="D3" s="16">
        <v>0.5</v>
      </c>
      <c r="F3" s="16">
        <v>2</v>
      </c>
      <c r="G3" s="17">
        <f t="shared" si="0"/>
        <v>1.9999999999999456</v>
      </c>
      <c r="H3" s="16" t="s">
        <v>10</v>
      </c>
      <c r="I3" s="17">
        <f t="shared" si="1"/>
        <v>0.24999999999999009</v>
      </c>
    </row>
    <row r="4" spans="1:21" x14ac:dyDescent="0.3">
      <c r="A4" s="11" t="s">
        <v>35</v>
      </c>
      <c r="B4" s="11">
        <v>300</v>
      </c>
      <c r="C4" s="11">
        <v>400</v>
      </c>
      <c r="D4" s="11">
        <v>3</v>
      </c>
      <c r="F4" s="11">
        <v>3</v>
      </c>
      <c r="G4" s="12">
        <f t="shared" si="0"/>
        <v>1.4999999999999591</v>
      </c>
      <c r="H4" s="11" t="s">
        <v>10</v>
      </c>
      <c r="I4" s="12">
        <f t="shared" si="1"/>
        <v>1.4999999999999405</v>
      </c>
    </row>
    <row r="5" spans="1:21" x14ac:dyDescent="0.3">
      <c r="A5" s="16" t="s">
        <v>36</v>
      </c>
      <c r="B5" s="16">
        <v>350</v>
      </c>
      <c r="C5" s="16">
        <v>450</v>
      </c>
      <c r="D5" s="16">
        <v>2</v>
      </c>
      <c r="F5" s="16">
        <v>4</v>
      </c>
      <c r="G5" s="17">
        <f t="shared" si="0"/>
        <v>1.7499999999999525</v>
      </c>
      <c r="H5" s="16" t="s">
        <v>10</v>
      </c>
      <c r="I5" s="17">
        <f t="shared" si="1"/>
        <v>0.99999999999996037</v>
      </c>
    </row>
    <row r="6" spans="1:21" x14ac:dyDescent="0.3">
      <c r="A6" s="11" t="s">
        <v>37</v>
      </c>
      <c r="B6" s="11">
        <v>450</v>
      </c>
      <c r="C6" s="11">
        <v>300</v>
      </c>
      <c r="D6" s="11">
        <v>1</v>
      </c>
      <c r="F6" s="11">
        <v>5</v>
      </c>
      <c r="G6" s="12">
        <f t="shared" si="0"/>
        <v>2.2499999999999387</v>
      </c>
      <c r="H6" s="11" t="s">
        <v>10</v>
      </c>
      <c r="I6" s="12">
        <f t="shared" si="1"/>
        <v>0.49999999999998018</v>
      </c>
    </row>
    <row r="7" spans="1:21" x14ac:dyDescent="0.3">
      <c r="A7" s="16" t="s">
        <v>38</v>
      </c>
      <c r="B7" s="16">
        <v>500</v>
      </c>
      <c r="C7" s="16">
        <v>150</v>
      </c>
      <c r="D7" s="16">
        <v>1.5</v>
      </c>
      <c r="F7" s="16">
        <v>6</v>
      </c>
      <c r="G7" s="17">
        <f t="shared" si="0"/>
        <v>2.4999999999999321</v>
      </c>
      <c r="H7" s="16" t="s">
        <v>10</v>
      </c>
      <c r="I7" s="17">
        <f t="shared" si="1"/>
        <v>0.74999999999997025</v>
      </c>
    </row>
    <row r="8" spans="1:21" x14ac:dyDescent="0.3">
      <c r="A8" s="11" t="s">
        <v>39</v>
      </c>
      <c r="B8" s="11">
        <v>350</v>
      </c>
      <c r="C8" s="11">
        <v>200</v>
      </c>
      <c r="D8" s="11">
        <v>0.6</v>
      </c>
      <c r="F8" s="11">
        <v>7</v>
      </c>
      <c r="G8" s="12">
        <f t="shared" si="0"/>
        <v>1.7499999999999525</v>
      </c>
      <c r="H8" s="11" t="s">
        <v>10</v>
      </c>
      <c r="I8" s="12">
        <f t="shared" si="1"/>
        <v>0.29999999999998811</v>
      </c>
    </row>
    <row r="9" spans="1:21" ht="14.4" customHeight="1" x14ac:dyDescent="0.3">
      <c r="A9" s="16" t="s">
        <v>40</v>
      </c>
      <c r="B9" s="16">
        <v>200</v>
      </c>
      <c r="C9" s="16">
        <v>600</v>
      </c>
      <c r="D9" s="16">
        <v>1.8</v>
      </c>
      <c r="F9" s="16">
        <v>8</v>
      </c>
      <c r="G9" s="17">
        <f t="shared" si="0"/>
        <v>0.9999999999999728</v>
      </c>
      <c r="H9" s="16" t="s">
        <v>10</v>
      </c>
      <c r="I9" s="17">
        <f t="shared" si="1"/>
        <v>0.89999999999996438</v>
      </c>
    </row>
    <row r="10" spans="1:21" ht="14.4" customHeight="1" thickBot="1" x14ac:dyDescent="0.35"/>
    <row r="11" spans="1:21" ht="14.4" customHeight="1" thickBot="1" x14ac:dyDescent="0.35">
      <c r="A11" s="20" t="s">
        <v>18</v>
      </c>
      <c r="B11" s="56" t="s">
        <v>140</v>
      </c>
      <c r="C11" s="57" t="s">
        <v>141</v>
      </c>
      <c r="D11" s="58" t="s">
        <v>141</v>
      </c>
      <c r="F11" s="7" t="s">
        <v>0</v>
      </c>
      <c r="G11" s="7" t="s">
        <v>142</v>
      </c>
      <c r="H11" s="7" t="s">
        <v>91</v>
      </c>
    </row>
    <row r="12" spans="1:21" ht="14.4" customHeight="1" thickBot="1" x14ac:dyDescent="0.35">
      <c r="A12" s="59" t="s">
        <v>24</v>
      </c>
      <c r="B12" s="60">
        <v>4.9999999999998639E-3</v>
      </c>
      <c r="C12" s="61">
        <v>0</v>
      </c>
      <c r="D12" s="62">
        <v>0.49999999999998018</v>
      </c>
      <c r="F12" s="12" t="s">
        <v>9</v>
      </c>
      <c r="G12" s="42">
        <v>1</v>
      </c>
      <c r="H12" s="43" t="s">
        <v>41</v>
      </c>
    </row>
    <row r="13" spans="1:21" ht="14.4" customHeight="1" thickBot="1" x14ac:dyDescent="0.35">
      <c r="F13" s="17" t="s">
        <v>11</v>
      </c>
      <c r="G13" s="45">
        <v>0.32129999999999997</v>
      </c>
      <c r="H13" s="46" t="s">
        <v>143</v>
      </c>
    </row>
    <row r="14" spans="1:21" ht="14.4" customHeight="1" thickBot="1" x14ac:dyDescent="0.35">
      <c r="A14" s="63" t="s">
        <v>144</v>
      </c>
      <c r="B14" s="28"/>
      <c r="C14" s="63"/>
      <c r="D14" s="29"/>
      <c r="F14" s="12" t="s">
        <v>12</v>
      </c>
      <c r="G14" s="42">
        <v>1</v>
      </c>
      <c r="H14" s="43" t="s">
        <v>41</v>
      </c>
    </row>
    <row r="15" spans="1:21" x14ac:dyDescent="0.3">
      <c r="A15" s="26" t="s">
        <v>26</v>
      </c>
      <c r="B15" s="64">
        <v>8</v>
      </c>
      <c r="C15" s="65"/>
      <c r="D15" s="66"/>
      <c r="F15" s="17" t="s">
        <v>13</v>
      </c>
      <c r="G15" s="45">
        <v>0.58930000000000005</v>
      </c>
      <c r="H15" s="46" t="s">
        <v>143</v>
      </c>
    </row>
    <row r="16" spans="1:21" x14ac:dyDescent="0.3">
      <c r="A16" s="30" t="s">
        <v>145</v>
      </c>
      <c r="B16" s="67">
        <f t="array" ref="B16">SUMPRODUCT(--($F$2:$F$9=$B$15), $G$2:$G$9)</f>
        <v>0.9999999999999728</v>
      </c>
      <c r="C16" s="65" t="s">
        <v>28</v>
      </c>
      <c r="D16" s="67">
        <v>1</v>
      </c>
      <c r="F16" s="12" t="s">
        <v>14</v>
      </c>
      <c r="G16" s="45">
        <v>0.38650000000000001</v>
      </c>
      <c r="H16" s="46" t="s">
        <v>143</v>
      </c>
    </row>
    <row r="17" spans="1:8" x14ac:dyDescent="0.3">
      <c r="A17" s="30" t="s">
        <v>146</v>
      </c>
      <c r="B17" s="67">
        <f t="array" ref="B17">SUMPRODUCT(--($F$2:$F$9=$B$15), $I$2:$I$9)</f>
        <v>0.89999999999996438</v>
      </c>
      <c r="C17" s="65" t="s">
        <v>30</v>
      </c>
      <c r="D17" s="67" t="s">
        <v>31</v>
      </c>
      <c r="F17" s="17" t="s">
        <v>15</v>
      </c>
      <c r="G17" s="45">
        <v>0.95240000000000002</v>
      </c>
      <c r="H17" s="46" t="s">
        <v>143</v>
      </c>
    </row>
    <row r="18" spans="1:8" ht="14.4" customHeight="1" thickBot="1" x14ac:dyDescent="0.35">
      <c r="A18" s="37" t="s">
        <v>147</v>
      </c>
      <c r="B18" s="68">
        <f>B17 / B16</f>
        <v>0.89999999999998881</v>
      </c>
      <c r="C18" s="69"/>
      <c r="D18" s="70"/>
      <c r="F18" s="12" t="s">
        <v>16</v>
      </c>
      <c r="G18" s="45">
        <v>0.33329999999999999</v>
      </c>
      <c r="H18" s="46" t="s">
        <v>143</v>
      </c>
    </row>
    <row r="19" spans="1:8" ht="14.4" customHeight="1" thickBot="1" x14ac:dyDescent="0.35">
      <c r="F19" s="17" t="s">
        <v>17</v>
      </c>
      <c r="G19" s="45">
        <v>0.9</v>
      </c>
      <c r="H19" s="46" t="s">
        <v>143</v>
      </c>
    </row>
    <row r="22" spans="1:8" ht="15.6" customHeight="1" x14ac:dyDescent="0.3">
      <c r="A22" s="102" t="s">
        <v>148</v>
      </c>
      <c r="B22" s="103"/>
      <c r="C22" s="104"/>
    </row>
    <row r="23" spans="1:8" x14ac:dyDescent="0.3">
      <c r="A23" s="48" t="s">
        <v>43</v>
      </c>
      <c r="B23" s="48" t="s">
        <v>44</v>
      </c>
      <c r="C23" s="49" t="s">
        <v>45</v>
      </c>
    </row>
    <row r="24" spans="1:8" x14ac:dyDescent="0.3">
      <c r="A24" s="50">
        <v>1</v>
      </c>
      <c r="B24" s="51" t="s">
        <v>48</v>
      </c>
      <c r="C24" s="52" t="s">
        <v>149</v>
      </c>
    </row>
    <row r="25" spans="1:8" ht="28.8" customHeight="1" x14ac:dyDescent="0.3">
      <c r="A25" s="53">
        <v>2</v>
      </c>
      <c r="B25" s="54" t="s">
        <v>150</v>
      </c>
      <c r="C25" s="55" t="s">
        <v>151</v>
      </c>
    </row>
    <row r="26" spans="1:8" ht="28.8" customHeight="1" x14ac:dyDescent="0.3">
      <c r="A26" s="50">
        <v>3</v>
      </c>
      <c r="B26" s="51" t="s">
        <v>50</v>
      </c>
      <c r="C26" s="52" t="s">
        <v>152</v>
      </c>
    </row>
    <row r="27" spans="1:8" x14ac:dyDescent="0.3">
      <c r="A27" s="53">
        <v>4</v>
      </c>
      <c r="B27" s="54" t="s">
        <v>153</v>
      </c>
      <c r="C27" s="55" t="s">
        <v>154</v>
      </c>
    </row>
    <row r="28" spans="1:8" x14ac:dyDescent="0.3">
      <c r="A28" s="50">
        <v>5</v>
      </c>
      <c r="B28" s="51" t="s">
        <v>155</v>
      </c>
      <c r="C28" s="52" t="s">
        <v>156</v>
      </c>
    </row>
    <row r="29" spans="1:8" x14ac:dyDescent="0.3">
      <c r="A29" s="53">
        <v>6</v>
      </c>
      <c r="B29" s="54" t="s">
        <v>52</v>
      </c>
      <c r="C29" s="55" t="s">
        <v>157</v>
      </c>
    </row>
    <row r="32" spans="1:8" ht="15.6" x14ac:dyDescent="0.3">
      <c r="A32" s="100"/>
      <c r="B32" s="101"/>
      <c r="C32" s="101"/>
    </row>
    <row r="33" spans="1:3" x14ac:dyDescent="0.3">
      <c r="A33" s="84"/>
      <c r="B33" s="84"/>
      <c r="C33" s="85"/>
    </row>
    <row r="34" spans="1:3" x14ac:dyDescent="0.3">
      <c r="A34" s="86"/>
      <c r="B34" s="87"/>
      <c r="C34" s="88"/>
    </row>
    <row r="35" spans="1:3" x14ac:dyDescent="0.3">
      <c r="A35" s="86"/>
      <c r="B35" s="87"/>
      <c r="C35" s="88"/>
    </row>
    <row r="36" spans="1:3" x14ac:dyDescent="0.3">
      <c r="A36" s="86"/>
      <c r="B36" s="87"/>
      <c r="C36" s="88"/>
    </row>
    <row r="37" spans="1:3" x14ac:dyDescent="0.3">
      <c r="A37" s="86"/>
      <c r="B37" s="87"/>
      <c r="C37" s="88"/>
    </row>
    <row r="38" spans="1:3" x14ac:dyDescent="0.3">
      <c r="A38" s="86"/>
      <c r="B38" s="87"/>
      <c r="C38" s="88"/>
    </row>
  </sheetData>
  <mergeCells count="2">
    <mergeCell ref="A32:C32"/>
    <mergeCell ref="A22:C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8"/>
  <sheetViews>
    <sheetView showGridLines="0" workbookViewId="0">
      <selection activeCell="E16" sqref="E16"/>
    </sheetView>
  </sheetViews>
  <sheetFormatPr defaultRowHeight="14.4" x14ac:dyDescent="0.3"/>
  <cols>
    <col min="1" max="1" width="2.33203125" customWidth="1"/>
    <col min="2" max="2" width="6.109375" bestFit="1" customWidth="1"/>
    <col min="3" max="3" width="23.5546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158</v>
      </c>
    </row>
    <row r="3" spans="1:5" x14ac:dyDescent="0.3">
      <c r="A3" s="1" t="s">
        <v>159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160</v>
      </c>
    </row>
    <row r="8" spans="1:5" x14ac:dyDescent="0.3">
      <c r="A8" s="1"/>
      <c r="B8" t="s">
        <v>125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161</v>
      </c>
      <c r="D16" s="2">
        <v>1.319148936170214</v>
      </c>
      <c r="E16" s="2">
        <v>1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162</v>
      </c>
      <c r="D21" s="4">
        <v>1.5425531914893609E-3</v>
      </c>
      <c r="E21" s="4">
        <v>5.0492610837438797E-4</v>
      </c>
      <c r="F21" s="4" t="s">
        <v>84</v>
      </c>
    </row>
    <row r="22" spans="1:7" x14ac:dyDescent="0.3">
      <c r="B22" s="4" t="s">
        <v>85</v>
      </c>
      <c r="C22" s="4" t="s">
        <v>163</v>
      </c>
      <c r="D22" s="4">
        <v>2.5531914893617059E-3</v>
      </c>
      <c r="E22" s="4">
        <v>1.717980295566506E-3</v>
      </c>
      <c r="F22" s="4" t="s">
        <v>84</v>
      </c>
    </row>
    <row r="23" spans="1:7" x14ac:dyDescent="0.3">
      <c r="B23" s="4" t="s">
        <v>87</v>
      </c>
      <c r="C23" s="4" t="s">
        <v>164</v>
      </c>
      <c r="D23" s="4">
        <v>0</v>
      </c>
      <c r="E23" s="4">
        <v>4.6182266009851862E-4</v>
      </c>
      <c r="F23" s="4" t="s">
        <v>84</v>
      </c>
    </row>
    <row r="24" spans="1:7" x14ac:dyDescent="0.3">
      <c r="B24" s="4" t="s">
        <v>165</v>
      </c>
      <c r="C24" s="4" t="s">
        <v>166</v>
      </c>
      <c r="D24" s="4">
        <v>0</v>
      </c>
      <c r="E24" s="4">
        <v>0</v>
      </c>
      <c r="F24" s="4" t="s">
        <v>84</v>
      </c>
    </row>
    <row r="25" spans="1:7" ht="15" customHeight="1" thickBot="1" x14ac:dyDescent="0.35">
      <c r="B25" s="2" t="s">
        <v>167</v>
      </c>
      <c r="C25" s="2" t="s">
        <v>168</v>
      </c>
      <c r="D25" s="2">
        <v>0.16489361702127669</v>
      </c>
      <c r="E25" s="2">
        <v>0.125</v>
      </c>
      <c r="F25" s="2" t="s">
        <v>84</v>
      </c>
    </row>
    <row r="28" spans="1:7" ht="15" customHeight="1" thickBot="1" x14ac:dyDescent="0.35">
      <c r="A28" t="s">
        <v>88</v>
      </c>
    </row>
    <row r="29" spans="1:7" ht="15" customHeight="1" thickBot="1" x14ac:dyDescent="0.35">
      <c r="B29" s="3" t="s">
        <v>44</v>
      </c>
      <c r="C29" s="3" t="s">
        <v>75</v>
      </c>
      <c r="D29" s="3" t="s">
        <v>89</v>
      </c>
      <c r="E29" s="3" t="s">
        <v>90</v>
      </c>
      <c r="F29" s="3" t="s">
        <v>91</v>
      </c>
      <c r="G29" s="3" t="s">
        <v>92</v>
      </c>
    </row>
    <row r="30" spans="1:7" x14ac:dyDescent="0.3">
      <c r="B30" s="4" t="s">
        <v>93</v>
      </c>
      <c r="C30" s="4" t="s">
        <v>169</v>
      </c>
      <c r="D30" s="4">
        <v>0.99999999999999956</v>
      </c>
      <c r="E30" s="4" t="s">
        <v>95</v>
      </c>
      <c r="F30" s="4" t="s">
        <v>96</v>
      </c>
      <c r="G30" s="4">
        <v>0</v>
      </c>
    </row>
    <row r="31" spans="1:7" x14ac:dyDescent="0.3">
      <c r="B31" s="4" t="s">
        <v>170</v>
      </c>
      <c r="C31" s="4" t="s">
        <v>171</v>
      </c>
      <c r="D31" s="4">
        <v>0.99999999999999956</v>
      </c>
      <c r="E31" s="4" t="s">
        <v>172</v>
      </c>
      <c r="F31" s="4" t="s">
        <v>96</v>
      </c>
      <c r="G31" s="4">
        <v>0</v>
      </c>
    </row>
    <row r="32" spans="1:7" x14ac:dyDescent="0.3">
      <c r="B32" s="4" t="s">
        <v>173</v>
      </c>
      <c r="C32" s="4" t="s">
        <v>174</v>
      </c>
      <c r="D32" s="4">
        <v>0.78756157635467916</v>
      </c>
      <c r="E32" s="4" t="s">
        <v>175</v>
      </c>
      <c r="F32" s="4" t="s">
        <v>103</v>
      </c>
      <c r="G32" s="4">
        <v>0.28756157635467899</v>
      </c>
    </row>
    <row r="33" spans="2:7" x14ac:dyDescent="0.3">
      <c r="B33" s="4" t="s">
        <v>176</v>
      </c>
      <c r="C33" s="4" t="s">
        <v>177</v>
      </c>
      <c r="D33" s="4">
        <v>1.125</v>
      </c>
      <c r="E33" s="4" t="s">
        <v>178</v>
      </c>
      <c r="F33" s="4" t="s">
        <v>96</v>
      </c>
      <c r="G33" s="4">
        <v>0</v>
      </c>
    </row>
    <row r="34" spans="2:7" x14ac:dyDescent="0.3">
      <c r="B34" s="4" t="s">
        <v>179</v>
      </c>
      <c r="C34" s="4" t="s">
        <v>180</v>
      </c>
      <c r="D34" s="4">
        <v>1.254618226600986</v>
      </c>
      <c r="E34" s="4" t="s">
        <v>181</v>
      </c>
      <c r="F34" s="4" t="s">
        <v>103</v>
      </c>
      <c r="G34" s="4">
        <v>0.37961822660098532</v>
      </c>
    </row>
    <row r="35" spans="2:7" x14ac:dyDescent="0.3">
      <c r="B35" s="4" t="s">
        <v>182</v>
      </c>
      <c r="C35" s="4" t="s">
        <v>183</v>
      </c>
      <c r="D35" s="4">
        <v>1.001231527093597</v>
      </c>
      <c r="E35" s="4" t="s">
        <v>184</v>
      </c>
      <c r="F35" s="4" t="s">
        <v>103</v>
      </c>
      <c r="G35" s="4">
        <v>0.37623152709359642</v>
      </c>
    </row>
    <row r="36" spans="2:7" x14ac:dyDescent="0.3">
      <c r="B36" s="4" t="s">
        <v>185</v>
      </c>
      <c r="C36" s="4" t="s">
        <v>186</v>
      </c>
      <c r="D36" s="4">
        <v>0.87499999999999956</v>
      </c>
      <c r="E36" s="4" t="s">
        <v>187</v>
      </c>
      <c r="F36" s="4" t="s">
        <v>96</v>
      </c>
      <c r="G36" s="4">
        <v>0</v>
      </c>
    </row>
    <row r="37" spans="2:7" x14ac:dyDescent="0.3">
      <c r="B37" s="4" t="s">
        <v>188</v>
      </c>
      <c r="C37" s="4" t="s">
        <v>189</v>
      </c>
      <c r="D37" s="4">
        <v>0.86668719211822576</v>
      </c>
      <c r="E37" s="4" t="s">
        <v>190</v>
      </c>
      <c r="F37" s="4" t="s">
        <v>103</v>
      </c>
      <c r="G37" s="4">
        <v>0.36668719211822559</v>
      </c>
    </row>
    <row r="38" spans="2:7" ht="15" customHeight="1" thickBot="1" x14ac:dyDescent="0.35">
      <c r="B38" s="2" t="s">
        <v>191</v>
      </c>
      <c r="C38" s="2" t="s">
        <v>192</v>
      </c>
      <c r="D38" s="2">
        <v>1.5381773399014771</v>
      </c>
      <c r="E38" s="2" t="s">
        <v>193</v>
      </c>
      <c r="F38" s="2" t="s">
        <v>103</v>
      </c>
      <c r="G38" s="2">
        <v>0.53817733990147709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8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5546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158</v>
      </c>
    </row>
    <row r="3" spans="1:5" x14ac:dyDescent="0.3">
      <c r="A3" s="1" t="s">
        <v>194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195</v>
      </c>
    </row>
    <row r="8" spans="1:5" x14ac:dyDescent="0.3">
      <c r="A8" s="1"/>
      <c r="B8" t="s">
        <v>129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161</v>
      </c>
      <c r="D16" s="2">
        <v>0.50000000000000011</v>
      </c>
      <c r="E16" s="2">
        <v>0.65957446808510678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162</v>
      </c>
      <c r="D21" s="4">
        <v>5.0492610837438797E-4</v>
      </c>
      <c r="E21" s="4">
        <v>1.5425531914893609E-3</v>
      </c>
      <c r="F21" s="4" t="s">
        <v>84</v>
      </c>
    </row>
    <row r="22" spans="1:7" x14ac:dyDescent="0.3">
      <c r="B22" s="4" t="s">
        <v>85</v>
      </c>
      <c r="C22" s="4" t="s">
        <v>163</v>
      </c>
      <c r="D22" s="4">
        <v>1.717980295566506E-3</v>
      </c>
      <c r="E22" s="4">
        <v>2.5531914893617059E-3</v>
      </c>
      <c r="F22" s="4" t="s">
        <v>84</v>
      </c>
    </row>
    <row r="23" spans="1:7" x14ac:dyDescent="0.3">
      <c r="B23" s="4" t="s">
        <v>87</v>
      </c>
      <c r="C23" s="4" t="s">
        <v>164</v>
      </c>
      <c r="D23" s="4">
        <v>4.6182266009851862E-4</v>
      </c>
      <c r="E23" s="4">
        <v>0</v>
      </c>
      <c r="F23" s="4" t="s">
        <v>84</v>
      </c>
    </row>
    <row r="24" spans="1:7" x14ac:dyDescent="0.3">
      <c r="B24" s="4" t="s">
        <v>165</v>
      </c>
      <c r="C24" s="4" t="s">
        <v>166</v>
      </c>
      <c r="D24" s="4">
        <v>0</v>
      </c>
      <c r="E24" s="4">
        <v>0</v>
      </c>
      <c r="F24" s="4" t="s">
        <v>84</v>
      </c>
    </row>
    <row r="25" spans="1:7" ht="15" customHeight="1" thickBot="1" x14ac:dyDescent="0.35">
      <c r="B25" s="2" t="s">
        <v>167</v>
      </c>
      <c r="C25" s="2" t="s">
        <v>168</v>
      </c>
      <c r="D25" s="2">
        <v>0.125</v>
      </c>
      <c r="E25" s="2">
        <v>0.16489361702127669</v>
      </c>
      <c r="F25" s="2" t="s">
        <v>84</v>
      </c>
    </row>
    <row r="28" spans="1:7" ht="15" customHeight="1" thickBot="1" x14ac:dyDescent="0.35">
      <c r="A28" t="s">
        <v>88</v>
      </c>
    </row>
    <row r="29" spans="1:7" ht="15" customHeight="1" thickBot="1" x14ac:dyDescent="0.35">
      <c r="B29" s="3" t="s">
        <v>44</v>
      </c>
      <c r="C29" s="3" t="s">
        <v>75</v>
      </c>
      <c r="D29" s="3" t="s">
        <v>89</v>
      </c>
      <c r="E29" s="3" t="s">
        <v>90</v>
      </c>
      <c r="F29" s="3" t="s">
        <v>91</v>
      </c>
      <c r="G29" s="3" t="s">
        <v>92</v>
      </c>
    </row>
    <row r="30" spans="1:7" x14ac:dyDescent="0.3">
      <c r="B30" s="4" t="s">
        <v>93</v>
      </c>
      <c r="C30" s="4" t="s">
        <v>169</v>
      </c>
      <c r="D30" s="4">
        <v>1</v>
      </c>
      <c r="E30" s="4" t="s">
        <v>95</v>
      </c>
      <c r="F30" s="4" t="s">
        <v>96</v>
      </c>
      <c r="G30" s="4">
        <v>0</v>
      </c>
    </row>
    <row r="31" spans="1:7" x14ac:dyDescent="0.3">
      <c r="B31" s="4" t="s">
        <v>170</v>
      </c>
      <c r="C31" s="4" t="s">
        <v>171</v>
      </c>
      <c r="D31" s="4">
        <v>1.35904255319149</v>
      </c>
      <c r="E31" s="4" t="s">
        <v>172</v>
      </c>
      <c r="F31" s="4" t="s">
        <v>103</v>
      </c>
      <c r="G31" s="4">
        <v>3.9893617021276029E-2</v>
      </c>
    </row>
    <row r="32" spans="1:7" x14ac:dyDescent="0.3">
      <c r="B32" s="4" t="s">
        <v>173</v>
      </c>
      <c r="C32" s="4" t="s">
        <v>174</v>
      </c>
      <c r="D32" s="4">
        <v>1</v>
      </c>
      <c r="E32" s="4" t="s">
        <v>175</v>
      </c>
      <c r="F32" s="4" t="s">
        <v>103</v>
      </c>
      <c r="G32" s="4">
        <v>0.34042553191489322</v>
      </c>
    </row>
    <row r="33" spans="2:7" x14ac:dyDescent="0.3">
      <c r="B33" s="4" t="s">
        <v>176</v>
      </c>
      <c r="C33" s="4" t="s">
        <v>177</v>
      </c>
      <c r="D33" s="4">
        <v>1.48404255319149</v>
      </c>
      <c r="E33" s="4" t="s">
        <v>178</v>
      </c>
      <c r="F33" s="4" t="s">
        <v>96</v>
      </c>
      <c r="G33" s="4">
        <v>0</v>
      </c>
    </row>
    <row r="34" spans="2:7" x14ac:dyDescent="0.3">
      <c r="B34" s="4" t="s">
        <v>179</v>
      </c>
      <c r="C34" s="4" t="s">
        <v>180</v>
      </c>
      <c r="D34" s="4">
        <v>1.6888297872340441</v>
      </c>
      <c r="E34" s="4" t="s">
        <v>181</v>
      </c>
      <c r="F34" s="4" t="s">
        <v>103</v>
      </c>
      <c r="G34" s="4">
        <v>0.534574468085107</v>
      </c>
    </row>
    <row r="35" spans="2:7" x14ac:dyDescent="0.3">
      <c r="B35" s="4" t="s">
        <v>182</v>
      </c>
      <c r="C35" s="4" t="s">
        <v>183</v>
      </c>
      <c r="D35" s="4">
        <v>1.460106382978724</v>
      </c>
      <c r="E35" s="4" t="s">
        <v>184</v>
      </c>
      <c r="F35" s="4" t="s">
        <v>103</v>
      </c>
      <c r="G35" s="4">
        <v>0.6356382978723405</v>
      </c>
    </row>
    <row r="36" spans="2:7" x14ac:dyDescent="0.3">
      <c r="B36" s="4" t="s">
        <v>185</v>
      </c>
      <c r="C36" s="4" t="s">
        <v>186</v>
      </c>
      <c r="D36" s="4">
        <v>1.154255319148936</v>
      </c>
      <c r="E36" s="4" t="s">
        <v>187</v>
      </c>
      <c r="F36" s="4" t="s">
        <v>96</v>
      </c>
      <c r="G36" s="4">
        <v>0</v>
      </c>
    </row>
    <row r="37" spans="2:7" x14ac:dyDescent="0.3">
      <c r="B37" s="4" t="s">
        <v>188</v>
      </c>
      <c r="C37" s="4" t="s">
        <v>189</v>
      </c>
      <c r="D37" s="4">
        <v>1.050531914893617</v>
      </c>
      <c r="E37" s="4" t="s">
        <v>190</v>
      </c>
      <c r="F37" s="4" t="s">
        <v>103</v>
      </c>
      <c r="G37" s="4">
        <v>0.39095744680851041</v>
      </c>
    </row>
    <row r="38" spans="2:7" ht="15" customHeight="1" thickBot="1" x14ac:dyDescent="0.35">
      <c r="B38" s="2" t="s">
        <v>191</v>
      </c>
      <c r="C38" s="2" t="s">
        <v>192</v>
      </c>
      <c r="D38" s="2">
        <v>1.8404255319148961</v>
      </c>
      <c r="E38" s="2" t="s">
        <v>193</v>
      </c>
      <c r="F38" s="2" t="s">
        <v>103</v>
      </c>
      <c r="G38" s="2">
        <v>0.5212765957446821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8"/>
  <sheetViews>
    <sheetView showGridLines="0" workbookViewId="0">
      <selection activeCell="I27" sqref="I27"/>
    </sheetView>
  </sheetViews>
  <sheetFormatPr defaultRowHeight="14.4" x14ac:dyDescent="0.3"/>
  <cols>
    <col min="1" max="1" width="2.33203125" customWidth="1"/>
    <col min="2" max="2" width="6.109375" bestFit="1" customWidth="1"/>
    <col min="3" max="3" width="23.5546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158</v>
      </c>
    </row>
    <row r="3" spans="1:5" x14ac:dyDescent="0.3">
      <c r="A3" s="1" t="s">
        <v>196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197</v>
      </c>
    </row>
    <row r="8" spans="1:5" x14ac:dyDescent="0.3">
      <c r="A8" s="1"/>
      <c r="B8" t="s">
        <v>198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161</v>
      </c>
      <c r="D16" s="2">
        <v>1.48404255319149</v>
      </c>
      <c r="E16" s="2">
        <v>1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162</v>
      </c>
      <c r="D21" s="4">
        <v>1.5425531914893609E-3</v>
      </c>
      <c r="E21" s="4">
        <v>2.3492063492063491E-3</v>
      </c>
      <c r="F21" s="4" t="s">
        <v>84</v>
      </c>
    </row>
    <row r="22" spans="1:7" x14ac:dyDescent="0.3">
      <c r="B22" s="4" t="s">
        <v>85</v>
      </c>
      <c r="C22" s="4" t="s">
        <v>163</v>
      </c>
      <c r="D22" s="4">
        <v>2.5531914893617059E-3</v>
      </c>
      <c r="E22" s="4">
        <v>0</v>
      </c>
      <c r="F22" s="4" t="s">
        <v>84</v>
      </c>
    </row>
    <row r="23" spans="1:7" x14ac:dyDescent="0.3">
      <c r="B23" s="4" t="s">
        <v>87</v>
      </c>
      <c r="C23" s="4" t="s">
        <v>164</v>
      </c>
      <c r="D23" s="4">
        <v>0</v>
      </c>
      <c r="E23" s="4">
        <v>4.7619047619047608E-4</v>
      </c>
      <c r="F23" s="4" t="s">
        <v>84</v>
      </c>
    </row>
    <row r="24" spans="1:7" x14ac:dyDescent="0.3">
      <c r="B24" s="4" t="s">
        <v>165</v>
      </c>
      <c r="C24" s="4" t="s">
        <v>166</v>
      </c>
      <c r="D24" s="4">
        <v>0</v>
      </c>
      <c r="E24" s="4">
        <v>0</v>
      </c>
      <c r="F24" s="4" t="s">
        <v>84</v>
      </c>
    </row>
    <row r="25" spans="1:7" ht="15" customHeight="1" thickBot="1" x14ac:dyDescent="0.35">
      <c r="B25" s="2" t="s">
        <v>167</v>
      </c>
      <c r="C25" s="2" t="s">
        <v>168</v>
      </c>
      <c r="D25" s="2">
        <v>0.16489361702127669</v>
      </c>
      <c r="E25" s="2">
        <v>0.1111111111111111</v>
      </c>
      <c r="F25" s="2" t="s">
        <v>84</v>
      </c>
    </row>
    <row r="28" spans="1:7" ht="15" customHeight="1" thickBot="1" x14ac:dyDescent="0.35">
      <c r="A28" t="s">
        <v>88</v>
      </c>
    </row>
    <row r="29" spans="1:7" ht="15" customHeight="1" thickBot="1" x14ac:dyDescent="0.35">
      <c r="B29" s="3" t="s">
        <v>44</v>
      </c>
      <c r="C29" s="3" t="s">
        <v>75</v>
      </c>
      <c r="D29" s="3" t="s">
        <v>89</v>
      </c>
      <c r="E29" s="3" t="s">
        <v>90</v>
      </c>
      <c r="F29" s="3" t="s">
        <v>91</v>
      </c>
      <c r="G29" s="3" t="s">
        <v>92</v>
      </c>
    </row>
    <row r="30" spans="1:7" x14ac:dyDescent="0.3">
      <c r="B30" s="4" t="s">
        <v>93</v>
      </c>
      <c r="C30" s="4" t="s">
        <v>169</v>
      </c>
      <c r="D30" s="4">
        <v>0.99999999999999978</v>
      </c>
      <c r="E30" s="4" t="s">
        <v>95</v>
      </c>
      <c r="F30" s="4" t="s">
        <v>96</v>
      </c>
      <c r="G30" s="4">
        <v>0</v>
      </c>
    </row>
    <row r="31" spans="1:7" x14ac:dyDescent="0.3">
      <c r="B31" s="4" t="s">
        <v>170</v>
      </c>
      <c r="C31" s="4" t="s">
        <v>171</v>
      </c>
      <c r="D31" s="4">
        <v>1.6825396825396819</v>
      </c>
      <c r="E31" s="4" t="s">
        <v>172</v>
      </c>
      <c r="F31" s="4" t="s">
        <v>103</v>
      </c>
      <c r="G31" s="4">
        <v>0.79365079365079327</v>
      </c>
    </row>
    <row r="32" spans="1:7" x14ac:dyDescent="0.3">
      <c r="B32" s="4" t="s">
        <v>173</v>
      </c>
      <c r="C32" s="4" t="s">
        <v>174</v>
      </c>
      <c r="D32" s="4">
        <v>1.277777777777777</v>
      </c>
      <c r="E32" s="4" t="s">
        <v>175</v>
      </c>
      <c r="F32" s="4" t="s">
        <v>103</v>
      </c>
      <c r="G32" s="4">
        <v>0.83333333333333304</v>
      </c>
    </row>
    <row r="33" spans="2:7" x14ac:dyDescent="0.3">
      <c r="B33" s="4" t="s">
        <v>176</v>
      </c>
      <c r="C33" s="4" t="s">
        <v>177</v>
      </c>
      <c r="D33" s="4">
        <v>0.99999999999999978</v>
      </c>
      <c r="E33" s="4" t="s">
        <v>178</v>
      </c>
      <c r="F33" s="4" t="s">
        <v>96</v>
      </c>
      <c r="G33" s="4">
        <v>0</v>
      </c>
    </row>
    <row r="34" spans="2:7" x14ac:dyDescent="0.3">
      <c r="B34" s="4" t="s">
        <v>179</v>
      </c>
      <c r="C34" s="4" t="s">
        <v>180</v>
      </c>
      <c r="D34" s="4">
        <v>1.136507936507936</v>
      </c>
      <c r="E34" s="4" t="s">
        <v>181</v>
      </c>
      <c r="F34" s="4" t="s">
        <v>103</v>
      </c>
      <c r="G34" s="4">
        <v>0.35873015873015862</v>
      </c>
    </row>
    <row r="35" spans="2:7" x14ac:dyDescent="0.3">
      <c r="B35" s="4" t="s">
        <v>182</v>
      </c>
      <c r="C35" s="4" t="s">
        <v>183</v>
      </c>
      <c r="D35" s="4">
        <v>1.323809523809524</v>
      </c>
      <c r="E35" s="4" t="s">
        <v>184</v>
      </c>
      <c r="F35" s="4" t="s">
        <v>103</v>
      </c>
      <c r="G35" s="4">
        <v>0.76825396825396797</v>
      </c>
    </row>
    <row r="36" spans="2:7" x14ac:dyDescent="0.3">
      <c r="B36" s="4" t="s">
        <v>185</v>
      </c>
      <c r="C36" s="4" t="s">
        <v>186</v>
      </c>
      <c r="D36" s="4">
        <v>1.5507936507936511</v>
      </c>
      <c r="E36" s="4" t="s">
        <v>187</v>
      </c>
      <c r="F36" s="4" t="s">
        <v>103</v>
      </c>
      <c r="G36" s="4">
        <v>0.77301587301587293</v>
      </c>
    </row>
    <row r="37" spans="2:7" x14ac:dyDescent="0.3">
      <c r="B37" s="4" t="s">
        <v>188</v>
      </c>
      <c r="C37" s="4" t="s">
        <v>189</v>
      </c>
      <c r="D37" s="4">
        <v>1.1793650793650789</v>
      </c>
      <c r="E37" s="4" t="s">
        <v>190</v>
      </c>
      <c r="F37" s="4" t="s">
        <v>103</v>
      </c>
      <c r="G37" s="4">
        <v>0.73492063492063475</v>
      </c>
    </row>
    <row r="38" spans="2:7" ht="15" customHeight="1" thickBot="1" x14ac:dyDescent="0.35">
      <c r="B38" s="2" t="s">
        <v>191</v>
      </c>
      <c r="C38" s="2" t="s">
        <v>192</v>
      </c>
      <c r="D38" s="2">
        <v>0.88888888888888862</v>
      </c>
      <c r="E38" s="2" t="s">
        <v>193</v>
      </c>
      <c r="F38" s="2" t="s">
        <v>96</v>
      </c>
      <c r="G38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8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5546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158</v>
      </c>
    </row>
    <row r="3" spans="1:5" x14ac:dyDescent="0.3">
      <c r="A3" s="1" t="s">
        <v>199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200</v>
      </c>
    </row>
    <row r="8" spans="1:5" x14ac:dyDescent="0.3">
      <c r="A8" s="1"/>
      <c r="B8" t="s">
        <v>70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161</v>
      </c>
      <c r="D16" s="2">
        <v>0.77777777777777768</v>
      </c>
      <c r="E16" s="2">
        <v>0.73063973063973053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162</v>
      </c>
      <c r="D21" s="4">
        <v>2.3492063492063491E-3</v>
      </c>
      <c r="E21" s="4">
        <v>0</v>
      </c>
      <c r="F21" s="4" t="s">
        <v>84</v>
      </c>
    </row>
    <row r="22" spans="1:7" x14ac:dyDescent="0.3">
      <c r="B22" s="4" t="s">
        <v>85</v>
      </c>
      <c r="C22" s="4" t="s">
        <v>163</v>
      </c>
      <c r="D22" s="4">
        <v>0</v>
      </c>
      <c r="E22" s="4">
        <v>0</v>
      </c>
      <c r="F22" s="4" t="s">
        <v>84</v>
      </c>
    </row>
    <row r="23" spans="1:7" x14ac:dyDescent="0.3">
      <c r="B23" s="4" t="s">
        <v>87</v>
      </c>
      <c r="C23" s="4" t="s">
        <v>164</v>
      </c>
      <c r="D23" s="4">
        <v>4.7619047619047608E-4</v>
      </c>
      <c r="E23" s="4">
        <v>1.5151515151515149E-3</v>
      </c>
      <c r="F23" s="4" t="s">
        <v>84</v>
      </c>
    </row>
    <row r="24" spans="1:7" x14ac:dyDescent="0.3">
      <c r="B24" s="4" t="s">
        <v>165</v>
      </c>
      <c r="C24" s="4" t="s">
        <v>166</v>
      </c>
      <c r="D24" s="4">
        <v>0</v>
      </c>
      <c r="E24" s="4">
        <v>0</v>
      </c>
      <c r="F24" s="4" t="s">
        <v>84</v>
      </c>
    </row>
    <row r="25" spans="1:7" ht="15" customHeight="1" thickBot="1" x14ac:dyDescent="0.35">
      <c r="B25" s="2" t="s">
        <v>167</v>
      </c>
      <c r="C25" s="2" t="s">
        <v>168</v>
      </c>
      <c r="D25" s="2">
        <v>0.1111111111111111</v>
      </c>
      <c r="E25" s="2">
        <v>0.1043771043771044</v>
      </c>
      <c r="F25" s="2" t="s">
        <v>84</v>
      </c>
    </row>
    <row r="28" spans="1:7" ht="15" customHeight="1" thickBot="1" x14ac:dyDescent="0.35">
      <c r="A28" t="s">
        <v>88</v>
      </c>
    </row>
    <row r="29" spans="1:7" ht="15" customHeight="1" thickBot="1" x14ac:dyDescent="0.35">
      <c r="B29" s="3" t="s">
        <v>44</v>
      </c>
      <c r="C29" s="3" t="s">
        <v>75</v>
      </c>
      <c r="D29" s="3" t="s">
        <v>89</v>
      </c>
      <c r="E29" s="3" t="s">
        <v>90</v>
      </c>
      <c r="F29" s="3" t="s">
        <v>91</v>
      </c>
      <c r="G29" s="3" t="s">
        <v>92</v>
      </c>
    </row>
    <row r="30" spans="1:7" x14ac:dyDescent="0.3">
      <c r="B30" s="4" t="s">
        <v>93</v>
      </c>
      <c r="C30" s="4" t="s">
        <v>169</v>
      </c>
      <c r="D30" s="4">
        <v>0.99999999999999989</v>
      </c>
      <c r="E30" s="4" t="s">
        <v>95</v>
      </c>
      <c r="F30" s="4" t="s">
        <v>96</v>
      </c>
      <c r="G30" s="4">
        <v>0</v>
      </c>
    </row>
    <row r="31" spans="1:7" x14ac:dyDescent="0.3">
      <c r="B31" s="4" t="s">
        <v>170</v>
      </c>
      <c r="C31" s="4" t="s">
        <v>171</v>
      </c>
      <c r="D31" s="4">
        <v>1.242424242424242</v>
      </c>
      <c r="E31" s="4" t="s">
        <v>172</v>
      </c>
      <c r="F31" s="4" t="s">
        <v>103</v>
      </c>
      <c r="G31" s="4">
        <v>0.40740740740740727</v>
      </c>
    </row>
    <row r="32" spans="1:7" x14ac:dyDescent="0.3">
      <c r="B32" s="4" t="s">
        <v>173</v>
      </c>
      <c r="C32" s="4" t="s">
        <v>174</v>
      </c>
      <c r="D32" s="4">
        <v>1.0757575757575759</v>
      </c>
      <c r="E32" s="4" t="s">
        <v>175</v>
      </c>
      <c r="F32" s="4" t="s">
        <v>103</v>
      </c>
      <c r="G32" s="4">
        <v>0.65824915824915831</v>
      </c>
    </row>
    <row r="33" spans="2:7" x14ac:dyDescent="0.3">
      <c r="B33" s="4" t="s">
        <v>176</v>
      </c>
      <c r="C33" s="4" t="s">
        <v>177</v>
      </c>
      <c r="D33" s="4">
        <v>0.93939393939393923</v>
      </c>
      <c r="E33" s="4" t="s">
        <v>178</v>
      </c>
      <c r="F33" s="4" t="s">
        <v>96</v>
      </c>
      <c r="G33" s="4">
        <v>0</v>
      </c>
    </row>
    <row r="34" spans="2:7" x14ac:dyDescent="0.3">
      <c r="B34" s="4" t="s">
        <v>179</v>
      </c>
      <c r="C34" s="4" t="s">
        <v>180</v>
      </c>
      <c r="D34" s="4">
        <v>0.99999999999999989</v>
      </c>
      <c r="E34" s="4" t="s">
        <v>181</v>
      </c>
      <c r="F34" s="4" t="s">
        <v>103</v>
      </c>
      <c r="G34" s="4">
        <v>0.26936026936026941</v>
      </c>
    </row>
    <row r="35" spans="2:7" x14ac:dyDescent="0.3">
      <c r="B35" s="4" t="s">
        <v>182</v>
      </c>
      <c r="C35" s="4" t="s">
        <v>183</v>
      </c>
      <c r="D35" s="4">
        <v>0.8484848484848484</v>
      </c>
      <c r="E35" s="4" t="s">
        <v>184</v>
      </c>
      <c r="F35" s="4" t="s">
        <v>103</v>
      </c>
      <c r="G35" s="4">
        <v>0.32659932659932661</v>
      </c>
    </row>
    <row r="36" spans="2:7" x14ac:dyDescent="0.3">
      <c r="B36" s="4" t="s">
        <v>185</v>
      </c>
      <c r="C36" s="4" t="s">
        <v>186</v>
      </c>
      <c r="D36" s="4">
        <v>1.196969696969697</v>
      </c>
      <c r="E36" s="4" t="s">
        <v>187</v>
      </c>
      <c r="F36" s="4" t="s">
        <v>103</v>
      </c>
      <c r="G36" s="4">
        <v>0.46632996632996632</v>
      </c>
    </row>
    <row r="37" spans="2:7" x14ac:dyDescent="0.3">
      <c r="B37" s="4" t="s">
        <v>188</v>
      </c>
      <c r="C37" s="4" t="s">
        <v>189</v>
      </c>
      <c r="D37" s="4">
        <v>1.136363636363636</v>
      </c>
      <c r="E37" s="4" t="s">
        <v>190</v>
      </c>
      <c r="F37" s="4" t="s">
        <v>103</v>
      </c>
      <c r="G37" s="4">
        <v>0.71885521885521886</v>
      </c>
    </row>
    <row r="38" spans="2:7" ht="15" customHeight="1" thickBot="1" x14ac:dyDescent="0.35">
      <c r="B38" s="2" t="s">
        <v>191</v>
      </c>
      <c r="C38" s="2" t="s">
        <v>192</v>
      </c>
      <c r="D38" s="2">
        <v>1.333333333333333</v>
      </c>
      <c r="E38" s="2" t="s">
        <v>193</v>
      </c>
      <c r="F38" s="2" t="s">
        <v>103</v>
      </c>
      <c r="G38" s="2">
        <v>0.49831649831649821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8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5546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158</v>
      </c>
    </row>
    <row r="3" spans="1:5" x14ac:dyDescent="0.3">
      <c r="A3" s="1" t="s">
        <v>201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202</v>
      </c>
    </row>
    <row r="8" spans="1:5" x14ac:dyDescent="0.3">
      <c r="A8" s="1"/>
      <c r="B8" t="s">
        <v>203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161</v>
      </c>
      <c r="D16" s="2">
        <v>0.52188552188552184</v>
      </c>
      <c r="E16" s="2">
        <v>0.6754966887417212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162</v>
      </c>
      <c r="D21" s="4">
        <v>0</v>
      </c>
      <c r="E21" s="4">
        <v>0</v>
      </c>
      <c r="F21" s="4" t="s">
        <v>84</v>
      </c>
    </row>
    <row r="22" spans="1:7" x14ac:dyDescent="0.3">
      <c r="B22" s="4" t="s">
        <v>85</v>
      </c>
      <c r="C22" s="4" t="s">
        <v>163</v>
      </c>
      <c r="D22" s="4">
        <v>0</v>
      </c>
      <c r="E22" s="4">
        <v>1.602649006622517E-3</v>
      </c>
      <c r="F22" s="4" t="s">
        <v>84</v>
      </c>
    </row>
    <row r="23" spans="1:7" x14ac:dyDescent="0.3">
      <c r="B23" s="4" t="s">
        <v>87</v>
      </c>
      <c r="C23" s="4" t="s">
        <v>164</v>
      </c>
      <c r="D23" s="4">
        <v>1.5151515151515149E-3</v>
      </c>
      <c r="E23" s="4">
        <v>9.2715231788079275E-4</v>
      </c>
      <c r="F23" s="4" t="s">
        <v>84</v>
      </c>
    </row>
    <row r="24" spans="1:7" x14ac:dyDescent="0.3">
      <c r="B24" s="4" t="s">
        <v>165</v>
      </c>
      <c r="C24" s="4" t="s">
        <v>166</v>
      </c>
      <c r="D24" s="4">
        <v>0</v>
      </c>
      <c r="E24" s="4">
        <v>0</v>
      </c>
      <c r="F24" s="4" t="s">
        <v>84</v>
      </c>
    </row>
    <row r="25" spans="1:7" ht="15" customHeight="1" thickBot="1" x14ac:dyDescent="0.35">
      <c r="B25" s="2" t="s">
        <v>167</v>
      </c>
      <c r="C25" s="2" t="s">
        <v>168</v>
      </c>
      <c r="D25" s="2">
        <v>0.1043771043771044</v>
      </c>
      <c r="E25" s="2">
        <v>0.13509933774834421</v>
      </c>
      <c r="F25" s="2" t="s">
        <v>84</v>
      </c>
    </row>
    <row r="28" spans="1:7" ht="15" customHeight="1" thickBot="1" x14ac:dyDescent="0.35">
      <c r="A28" t="s">
        <v>88</v>
      </c>
    </row>
    <row r="29" spans="1:7" ht="15" customHeight="1" thickBot="1" x14ac:dyDescent="0.35">
      <c r="B29" s="3" t="s">
        <v>44</v>
      </c>
      <c r="C29" s="3" t="s">
        <v>75</v>
      </c>
      <c r="D29" s="3" t="s">
        <v>89</v>
      </c>
      <c r="E29" s="3" t="s">
        <v>90</v>
      </c>
      <c r="F29" s="3" t="s">
        <v>91</v>
      </c>
      <c r="G29" s="3" t="s">
        <v>92</v>
      </c>
    </row>
    <row r="30" spans="1:7" x14ac:dyDescent="0.3">
      <c r="B30" s="4" t="s">
        <v>93</v>
      </c>
      <c r="C30" s="4" t="s">
        <v>169</v>
      </c>
      <c r="D30" s="4">
        <v>0.99999999999999889</v>
      </c>
      <c r="E30" s="4" t="s">
        <v>95</v>
      </c>
      <c r="F30" s="4" t="s">
        <v>96</v>
      </c>
      <c r="G30" s="4">
        <v>0</v>
      </c>
    </row>
    <row r="31" spans="1:7" x14ac:dyDescent="0.3">
      <c r="B31" s="4" t="s">
        <v>170</v>
      </c>
      <c r="C31" s="4" t="s">
        <v>171</v>
      </c>
      <c r="D31" s="4">
        <v>1.080794701986753</v>
      </c>
      <c r="E31" s="4" t="s">
        <v>172</v>
      </c>
      <c r="F31" s="4" t="s">
        <v>96</v>
      </c>
      <c r="G31" s="4">
        <v>0</v>
      </c>
    </row>
    <row r="32" spans="1:7" x14ac:dyDescent="0.3">
      <c r="B32" s="4" t="s">
        <v>173</v>
      </c>
      <c r="C32" s="4" t="s">
        <v>174</v>
      </c>
      <c r="D32" s="4">
        <v>0.89867549668874025</v>
      </c>
      <c r="E32" s="4" t="s">
        <v>175</v>
      </c>
      <c r="F32" s="4" t="s">
        <v>103</v>
      </c>
      <c r="G32" s="4">
        <v>0.35827814569536331</v>
      </c>
    </row>
    <row r="33" spans="2:7" x14ac:dyDescent="0.3">
      <c r="B33" s="4" t="s">
        <v>176</v>
      </c>
      <c r="C33" s="4" t="s">
        <v>177</v>
      </c>
      <c r="D33" s="4">
        <v>1.2158940397350979</v>
      </c>
      <c r="E33" s="4" t="s">
        <v>178</v>
      </c>
      <c r="F33" s="4" t="s">
        <v>96</v>
      </c>
      <c r="G33" s="4">
        <v>0</v>
      </c>
    </row>
    <row r="34" spans="2:7" x14ac:dyDescent="0.3">
      <c r="B34" s="4" t="s">
        <v>179</v>
      </c>
      <c r="C34" s="4" t="s">
        <v>180</v>
      </c>
      <c r="D34" s="4">
        <v>1.3331125827814561</v>
      </c>
      <c r="E34" s="4" t="s">
        <v>181</v>
      </c>
      <c r="F34" s="4" t="s">
        <v>103</v>
      </c>
      <c r="G34" s="4">
        <v>0.387417218543046</v>
      </c>
    </row>
    <row r="35" spans="2:7" x14ac:dyDescent="0.3">
      <c r="B35" s="4" t="s">
        <v>182</v>
      </c>
      <c r="C35" s="4" t="s">
        <v>183</v>
      </c>
      <c r="D35" s="4">
        <v>0.99999999999999889</v>
      </c>
      <c r="E35" s="4" t="s">
        <v>184</v>
      </c>
      <c r="F35" s="4" t="s">
        <v>103</v>
      </c>
      <c r="G35" s="4">
        <v>0.32450331125827769</v>
      </c>
    </row>
    <row r="36" spans="2:7" x14ac:dyDescent="0.3">
      <c r="B36" s="4" t="s">
        <v>185</v>
      </c>
      <c r="C36" s="4" t="s">
        <v>186</v>
      </c>
      <c r="D36" s="4">
        <v>0.9728476821192038</v>
      </c>
      <c r="E36" s="4" t="s">
        <v>187</v>
      </c>
      <c r="F36" s="4" t="s">
        <v>103</v>
      </c>
      <c r="G36" s="4">
        <v>2.71523178807942E-2</v>
      </c>
    </row>
    <row r="37" spans="2:7" x14ac:dyDescent="0.3">
      <c r="B37" s="4" t="s">
        <v>188</v>
      </c>
      <c r="C37" s="4" t="s">
        <v>189</v>
      </c>
      <c r="D37" s="4">
        <v>1.015894039735098</v>
      </c>
      <c r="E37" s="4" t="s">
        <v>190</v>
      </c>
      <c r="F37" s="4" t="s">
        <v>103</v>
      </c>
      <c r="G37" s="4">
        <v>0.47549668874172102</v>
      </c>
    </row>
    <row r="38" spans="2:7" ht="15" customHeight="1" thickBot="1" x14ac:dyDescent="0.35">
      <c r="B38" s="2" t="s">
        <v>191</v>
      </c>
      <c r="C38" s="2" t="s">
        <v>192</v>
      </c>
      <c r="D38" s="2">
        <v>1.777483443708608</v>
      </c>
      <c r="E38" s="2" t="s">
        <v>193</v>
      </c>
      <c r="F38" s="2" t="s">
        <v>103</v>
      </c>
      <c r="G38" s="2">
        <v>0.69668874172185391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8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5546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158</v>
      </c>
    </row>
    <row r="3" spans="1:5" x14ac:dyDescent="0.3">
      <c r="A3" s="1" t="s">
        <v>204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205</v>
      </c>
    </row>
    <row r="8" spans="1:5" x14ac:dyDescent="0.3">
      <c r="A8" s="1"/>
      <c r="B8" t="s">
        <v>129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161</v>
      </c>
      <c r="D16" s="2">
        <v>0.94569536423840961</v>
      </c>
      <c r="E16" s="2">
        <v>1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162</v>
      </c>
      <c r="D21" s="4">
        <v>0</v>
      </c>
      <c r="E21" s="4">
        <v>1.336405529953916E-3</v>
      </c>
      <c r="F21" s="4" t="s">
        <v>84</v>
      </c>
    </row>
    <row r="22" spans="1:7" x14ac:dyDescent="0.3">
      <c r="B22" s="4" t="s">
        <v>85</v>
      </c>
      <c r="C22" s="4" t="s">
        <v>163</v>
      </c>
      <c r="D22" s="4">
        <v>1.602649006622517E-3</v>
      </c>
      <c r="E22" s="4">
        <v>2.2119815668202791E-3</v>
      </c>
      <c r="F22" s="4" t="s">
        <v>84</v>
      </c>
    </row>
    <row r="23" spans="1:7" x14ac:dyDescent="0.3">
      <c r="B23" s="4" t="s">
        <v>87</v>
      </c>
      <c r="C23" s="4" t="s">
        <v>164</v>
      </c>
      <c r="D23" s="4">
        <v>9.2715231788079275E-4</v>
      </c>
      <c r="E23" s="4">
        <v>0</v>
      </c>
      <c r="F23" s="4" t="s">
        <v>84</v>
      </c>
    </row>
    <row r="24" spans="1:7" x14ac:dyDescent="0.3">
      <c r="B24" s="4" t="s">
        <v>165</v>
      </c>
      <c r="C24" s="4" t="s">
        <v>166</v>
      </c>
      <c r="D24" s="4">
        <v>0</v>
      </c>
      <c r="E24" s="4">
        <v>0</v>
      </c>
      <c r="F24" s="4" t="s">
        <v>84</v>
      </c>
    </row>
    <row r="25" spans="1:7" ht="15" customHeight="1" thickBot="1" x14ac:dyDescent="0.35">
      <c r="B25" s="2" t="s">
        <v>167</v>
      </c>
      <c r="C25" s="2" t="s">
        <v>168</v>
      </c>
      <c r="D25" s="2">
        <v>0.13509933774834421</v>
      </c>
      <c r="E25" s="2">
        <v>0.1428571428571429</v>
      </c>
      <c r="F25" s="2" t="s">
        <v>84</v>
      </c>
    </row>
    <row r="28" spans="1:7" ht="15" customHeight="1" thickBot="1" x14ac:dyDescent="0.35">
      <c r="A28" t="s">
        <v>88</v>
      </c>
    </row>
    <row r="29" spans="1:7" ht="15" customHeight="1" thickBot="1" x14ac:dyDescent="0.35">
      <c r="B29" s="3" t="s">
        <v>44</v>
      </c>
      <c r="C29" s="3" t="s">
        <v>75</v>
      </c>
      <c r="D29" s="3" t="s">
        <v>89</v>
      </c>
      <c r="E29" s="3" t="s">
        <v>90</v>
      </c>
      <c r="F29" s="3" t="s">
        <v>91</v>
      </c>
      <c r="G29" s="3" t="s">
        <v>92</v>
      </c>
    </row>
    <row r="30" spans="1:7" x14ac:dyDescent="0.3">
      <c r="B30" s="4" t="s">
        <v>93</v>
      </c>
      <c r="C30" s="4" t="s">
        <v>169</v>
      </c>
      <c r="D30" s="4">
        <v>0.99999999999999989</v>
      </c>
      <c r="E30" s="4" t="s">
        <v>95</v>
      </c>
      <c r="F30" s="4" t="s">
        <v>96</v>
      </c>
      <c r="G30" s="4">
        <v>0</v>
      </c>
    </row>
    <row r="31" spans="1:7" x14ac:dyDescent="0.3">
      <c r="B31" s="4" t="s">
        <v>170</v>
      </c>
      <c r="C31" s="4" t="s">
        <v>171</v>
      </c>
      <c r="D31" s="4">
        <v>1.17741935483871</v>
      </c>
      <c r="E31" s="4" t="s">
        <v>172</v>
      </c>
      <c r="F31" s="4" t="s">
        <v>103</v>
      </c>
      <c r="G31" s="4">
        <v>3.4562211981566282E-2</v>
      </c>
    </row>
    <row r="32" spans="1:7" x14ac:dyDescent="0.3">
      <c r="B32" s="4" t="s">
        <v>173</v>
      </c>
      <c r="C32" s="4" t="s">
        <v>174</v>
      </c>
      <c r="D32" s="4">
        <v>0.86635944700460832</v>
      </c>
      <c r="E32" s="4" t="s">
        <v>175</v>
      </c>
      <c r="F32" s="4" t="s">
        <v>103</v>
      </c>
      <c r="G32" s="4">
        <v>0.2949308755760367</v>
      </c>
    </row>
    <row r="33" spans="2:7" x14ac:dyDescent="0.3">
      <c r="B33" s="4" t="s">
        <v>176</v>
      </c>
      <c r="C33" s="4" t="s">
        <v>177</v>
      </c>
      <c r="D33" s="4">
        <v>1.285714285714286</v>
      </c>
      <c r="E33" s="4" t="s">
        <v>178</v>
      </c>
      <c r="F33" s="4" t="s">
        <v>96</v>
      </c>
      <c r="G33" s="4">
        <v>0</v>
      </c>
    </row>
    <row r="34" spans="2:7" x14ac:dyDescent="0.3">
      <c r="B34" s="4" t="s">
        <v>179</v>
      </c>
      <c r="C34" s="4" t="s">
        <v>180</v>
      </c>
      <c r="D34" s="4">
        <v>1.463133640552996</v>
      </c>
      <c r="E34" s="4" t="s">
        <v>181</v>
      </c>
      <c r="F34" s="4" t="s">
        <v>103</v>
      </c>
      <c r="G34" s="4">
        <v>0.46313364055299561</v>
      </c>
    </row>
    <row r="35" spans="2:7" x14ac:dyDescent="0.3">
      <c r="B35" s="4" t="s">
        <v>182</v>
      </c>
      <c r="C35" s="4" t="s">
        <v>183</v>
      </c>
      <c r="D35" s="4">
        <v>1.2649769585253461</v>
      </c>
      <c r="E35" s="4" t="s">
        <v>184</v>
      </c>
      <c r="F35" s="4" t="s">
        <v>103</v>
      </c>
      <c r="G35" s="4">
        <v>0.55069124423963134</v>
      </c>
    </row>
    <row r="36" spans="2:7" x14ac:dyDescent="0.3">
      <c r="B36" s="4" t="s">
        <v>185</v>
      </c>
      <c r="C36" s="4" t="s">
        <v>186</v>
      </c>
      <c r="D36" s="4">
        <v>0.99999999999999989</v>
      </c>
      <c r="E36" s="4" t="s">
        <v>187</v>
      </c>
      <c r="F36" s="4" t="s">
        <v>96</v>
      </c>
      <c r="G36" s="4">
        <v>0</v>
      </c>
    </row>
    <row r="37" spans="2:7" x14ac:dyDescent="0.3">
      <c r="B37" s="4" t="s">
        <v>188</v>
      </c>
      <c r="C37" s="4" t="s">
        <v>189</v>
      </c>
      <c r="D37" s="4">
        <v>0.91013824884792638</v>
      </c>
      <c r="E37" s="4" t="s">
        <v>190</v>
      </c>
      <c r="F37" s="4" t="s">
        <v>103</v>
      </c>
      <c r="G37" s="4">
        <v>0.33870967741935482</v>
      </c>
    </row>
    <row r="38" spans="2:7" ht="15" customHeight="1" thickBot="1" x14ac:dyDescent="0.35">
      <c r="B38" s="2" t="s">
        <v>191</v>
      </c>
      <c r="C38" s="2" t="s">
        <v>192</v>
      </c>
      <c r="D38" s="2">
        <v>1.5944700460829511</v>
      </c>
      <c r="E38" s="2" t="s">
        <v>193</v>
      </c>
      <c r="F38" s="2" t="s">
        <v>103</v>
      </c>
      <c r="G38" s="2">
        <v>0.45161290322580738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8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5546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158</v>
      </c>
    </row>
    <row r="3" spans="1:5" x14ac:dyDescent="0.3">
      <c r="A3" s="1" t="s">
        <v>206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202</v>
      </c>
    </row>
    <row r="8" spans="1:5" x14ac:dyDescent="0.3">
      <c r="A8" s="1"/>
      <c r="B8" t="s">
        <v>70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161</v>
      </c>
      <c r="D16" s="2">
        <v>0.57142857142857162</v>
      </c>
      <c r="E16" s="2">
        <v>0.6278481012658228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162</v>
      </c>
      <c r="D21" s="4">
        <v>1.336405529953916E-3</v>
      </c>
      <c r="E21" s="4">
        <v>1.468354430379746E-3</v>
      </c>
      <c r="F21" s="4" t="s">
        <v>84</v>
      </c>
    </row>
    <row r="22" spans="1:7" x14ac:dyDescent="0.3">
      <c r="B22" s="4" t="s">
        <v>85</v>
      </c>
      <c r="C22" s="4" t="s">
        <v>163</v>
      </c>
      <c r="D22" s="4">
        <v>2.2119815668202791E-3</v>
      </c>
      <c r="E22" s="4">
        <v>2.4303797468354441E-3</v>
      </c>
      <c r="F22" s="4" t="s">
        <v>84</v>
      </c>
    </row>
    <row r="23" spans="1:7" x14ac:dyDescent="0.3">
      <c r="B23" s="4" t="s">
        <v>87</v>
      </c>
      <c r="C23" s="4" t="s">
        <v>164</v>
      </c>
      <c r="D23" s="4">
        <v>0</v>
      </c>
      <c r="E23" s="4">
        <v>0</v>
      </c>
      <c r="F23" s="4" t="s">
        <v>84</v>
      </c>
    </row>
    <row r="24" spans="1:7" x14ac:dyDescent="0.3">
      <c r="B24" s="4" t="s">
        <v>165</v>
      </c>
      <c r="C24" s="4" t="s">
        <v>166</v>
      </c>
      <c r="D24" s="4">
        <v>0</v>
      </c>
      <c r="E24" s="4">
        <v>0</v>
      </c>
      <c r="F24" s="4" t="s">
        <v>84</v>
      </c>
    </row>
    <row r="25" spans="1:7" ht="15" customHeight="1" thickBot="1" x14ac:dyDescent="0.35">
      <c r="B25" s="2" t="s">
        <v>167</v>
      </c>
      <c r="C25" s="2" t="s">
        <v>168</v>
      </c>
      <c r="D25" s="2">
        <v>0.1428571428571429</v>
      </c>
      <c r="E25" s="2">
        <v>0.1569620253164557</v>
      </c>
      <c r="F25" s="2" t="s">
        <v>84</v>
      </c>
    </row>
    <row r="28" spans="1:7" ht="15" customHeight="1" thickBot="1" x14ac:dyDescent="0.35">
      <c r="A28" t="s">
        <v>88</v>
      </c>
    </row>
    <row r="29" spans="1:7" ht="15" customHeight="1" thickBot="1" x14ac:dyDescent="0.35">
      <c r="B29" s="3" t="s">
        <v>44</v>
      </c>
      <c r="C29" s="3" t="s">
        <v>75</v>
      </c>
      <c r="D29" s="3" t="s">
        <v>89</v>
      </c>
      <c r="E29" s="3" t="s">
        <v>90</v>
      </c>
      <c r="F29" s="3" t="s">
        <v>91</v>
      </c>
      <c r="G29" s="3" t="s">
        <v>92</v>
      </c>
    </row>
    <row r="30" spans="1:7" x14ac:dyDescent="0.3">
      <c r="B30" s="4" t="s">
        <v>93</v>
      </c>
      <c r="C30" s="4" t="s">
        <v>169</v>
      </c>
      <c r="D30" s="4">
        <v>1</v>
      </c>
      <c r="E30" s="4" t="s">
        <v>95</v>
      </c>
      <c r="F30" s="4" t="s">
        <v>96</v>
      </c>
      <c r="G30" s="4">
        <v>0</v>
      </c>
    </row>
    <row r="31" spans="1:7" x14ac:dyDescent="0.3">
      <c r="B31" s="4" t="s">
        <v>170</v>
      </c>
      <c r="C31" s="4" t="s">
        <v>171</v>
      </c>
      <c r="D31" s="4">
        <v>1.2936708860759489</v>
      </c>
      <c r="E31" s="4" t="s">
        <v>172</v>
      </c>
      <c r="F31" s="4" t="s">
        <v>103</v>
      </c>
      <c r="G31" s="4">
        <v>3.7974683544303563E-2</v>
      </c>
    </row>
    <row r="32" spans="1:7" x14ac:dyDescent="0.3">
      <c r="B32" s="4" t="s">
        <v>173</v>
      </c>
      <c r="C32" s="4" t="s">
        <v>174</v>
      </c>
      <c r="D32" s="4">
        <v>0.95189873417721516</v>
      </c>
      <c r="E32" s="4" t="s">
        <v>175</v>
      </c>
      <c r="F32" s="4" t="s">
        <v>103</v>
      </c>
      <c r="G32" s="4">
        <v>0.32405063291139241</v>
      </c>
    </row>
    <row r="33" spans="2:7" x14ac:dyDescent="0.3">
      <c r="B33" s="4" t="s">
        <v>176</v>
      </c>
      <c r="C33" s="4" t="s">
        <v>177</v>
      </c>
      <c r="D33" s="4">
        <v>1.412658227848101</v>
      </c>
      <c r="E33" s="4" t="s">
        <v>178</v>
      </c>
      <c r="F33" s="4" t="s">
        <v>96</v>
      </c>
      <c r="G33" s="4">
        <v>0</v>
      </c>
    </row>
    <row r="34" spans="2:7" x14ac:dyDescent="0.3">
      <c r="B34" s="4" t="s">
        <v>179</v>
      </c>
      <c r="C34" s="4" t="s">
        <v>180</v>
      </c>
      <c r="D34" s="4">
        <v>1.6075949367088611</v>
      </c>
      <c r="E34" s="4" t="s">
        <v>181</v>
      </c>
      <c r="F34" s="4" t="s">
        <v>103</v>
      </c>
      <c r="G34" s="4">
        <v>0.50886075949367093</v>
      </c>
    </row>
    <row r="35" spans="2:7" x14ac:dyDescent="0.3">
      <c r="B35" s="4" t="s">
        <v>182</v>
      </c>
      <c r="C35" s="4" t="s">
        <v>183</v>
      </c>
      <c r="D35" s="4">
        <v>1.3898734177215191</v>
      </c>
      <c r="E35" s="4" t="s">
        <v>184</v>
      </c>
      <c r="F35" s="4" t="s">
        <v>103</v>
      </c>
      <c r="G35" s="4">
        <v>0.60506329113924062</v>
      </c>
    </row>
    <row r="36" spans="2:7" x14ac:dyDescent="0.3">
      <c r="B36" s="4" t="s">
        <v>185</v>
      </c>
      <c r="C36" s="4" t="s">
        <v>186</v>
      </c>
      <c r="D36" s="4">
        <v>1.09873417721519</v>
      </c>
      <c r="E36" s="4" t="s">
        <v>187</v>
      </c>
      <c r="F36" s="4" t="s">
        <v>96</v>
      </c>
      <c r="G36" s="4">
        <v>0</v>
      </c>
    </row>
    <row r="37" spans="2:7" x14ac:dyDescent="0.3">
      <c r="B37" s="4" t="s">
        <v>188</v>
      </c>
      <c r="C37" s="4" t="s">
        <v>189</v>
      </c>
      <c r="D37" s="4">
        <v>1</v>
      </c>
      <c r="E37" s="4" t="s">
        <v>190</v>
      </c>
      <c r="F37" s="4" t="s">
        <v>103</v>
      </c>
      <c r="G37" s="4">
        <v>0.3721518987341772</v>
      </c>
    </row>
    <row r="38" spans="2:7" ht="15" customHeight="1" thickBot="1" x14ac:dyDescent="0.35">
      <c r="B38" s="2" t="s">
        <v>191</v>
      </c>
      <c r="C38" s="2" t="s">
        <v>192</v>
      </c>
      <c r="D38" s="2">
        <v>1.7518987341772161</v>
      </c>
      <c r="E38" s="2" t="s">
        <v>193</v>
      </c>
      <c r="F38" s="2" t="s">
        <v>103</v>
      </c>
      <c r="G38" s="2">
        <v>0.49620253164556999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8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23.5546875" bestFit="1" customWidth="1"/>
    <col min="4" max="4" width="12.6640625" bestFit="1" customWidth="1"/>
    <col min="5" max="5" width="12.3320312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63</v>
      </c>
    </row>
    <row r="2" spans="1:5" x14ac:dyDescent="0.3">
      <c r="A2" s="1" t="s">
        <v>158</v>
      </c>
    </row>
    <row r="3" spans="1:5" x14ac:dyDescent="0.3">
      <c r="A3" s="1" t="s">
        <v>207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202</v>
      </c>
    </row>
    <row r="8" spans="1:5" x14ac:dyDescent="0.3">
      <c r="A8" s="1"/>
      <c r="B8" t="s">
        <v>129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78</v>
      </c>
      <c r="C16" s="2" t="s">
        <v>161</v>
      </c>
      <c r="D16" s="2">
        <v>1.255696202531646</v>
      </c>
      <c r="E16" s="2">
        <v>1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82</v>
      </c>
      <c r="C21" s="4" t="s">
        <v>162</v>
      </c>
      <c r="D21" s="4">
        <v>1.468354430379746E-3</v>
      </c>
      <c r="E21" s="4">
        <v>2.6428571428571438E-3</v>
      </c>
      <c r="F21" s="4" t="s">
        <v>84</v>
      </c>
    </row>
    <row r="22" spans="1:7" x14ac:dyDescent="0.3">
      <c r="B22" s="4" t="s">
        <v>85</v>
      </c>
      <c r="C22" s="4" t="s">
        <v>163</v>
      </c>
      <c r="D22" s="4">
        <v>2.4303797468354441E-3</v>
      </c>
      <c r="E22" s="4">
        <v>0</v>
      </c>
      <c r="F22" s="4" t="s">
        <v>84</v>
      </c>
    </row>
    <row r="23" spans="1:7" x14ac:dyDescent="0.3">
      <c r="B23" s="4" t="s">
        <v>87</v>
      </c>
      <c r="C23" s="4" t="s">
        <v>164</v>
      </c>
      <c r="D23" s="4">
        <v>0</v>
      </c>
      <c r="E23" s="4">
        <v>5.3571428571428346E-4</v>
      </c>
      <c r="F23" s="4" t="s">
        <v>84</v>
      </c>
    </row>
    <row r="24" spans="1:7" x14ac:dyDescent="0.3">
      <c r="B24" s="4" t="s">
        <v>165</v>
      </c>
      <c r="C24" s="4" t="s">
        <v>166</v>
      </c>
      <c r="D24" s="4">
        <v>0</v>
      </c>
      <c r="E24" s="4">
        <v>0</v>
      </c>
      <c r="F24" s="4" t="s">
        <v>84</v>
      </c>
    </row>
    <row r="25" spans="1:7" ht="15" customHeight="1" thickBot="1" x14ac:dyDescent="0.35">
      <c r="B25" s="2" t="s">
        <v>167</v>
      </c>
      <c r="C25" s="2" t="s">
        <v>168</v>
      </c>
      <c r="D25" s="2">
        <v>0.1569620253164557</v>
      </c>
      <c r="E25" s="2">
        <v>0.125</v>
      </c>
      <c r="F25" s="2" t="s">
        <v>84</v>
      </c>
    </row>
    <row r="28" spans="1:7" ht="15" customHeight="1" thickBot="1" x14ac:dyDescent="0.35">
      <c r="A28" t="s">
        <v>88</v>
      </c>
    </row>
    <row r="29" spans="1:7" ht="15" customHeight="1" thickBot="1" x14ac:dyDescent="0.35">
      <c r="B29" s="3" t="s">
        <v>44</v>
      </c>
      <c r="C29" s="3" t="s">
        <v>75</v>
      </c>
      <c r="D29" s="3" t="s">
        <v>89</v>
      </c>
      <c r="E29" s="3" t="s">
        <v>90</v>
      </c>
      <c r="F29" s="3" t="s">
        <v>91</v>
      </c>
      <c r="G29" s="3" t="s">
        <v>92</v>
      </c>
    </row>
    <row r="30" spans="1:7" x14ac:dyDescent="0.3">
      <c r="B30" s="4" t="s">
        <v>93</v>
      </c>
      <c r="C30" s="4" t="s">
        <v>169</v>
      </c>
      <c r="D30" s="4">
        <v>0.99999999999999822</v>
      </c>
      <c r="E30" s="4" t="s">
        <v>95</v>
      </c>
      <c r="F30" s="4" t="s">
        <v>96</v>
      </c>
      <c r="G30" s="4">
        <v>0</v>
      </c>
    </row>
    <row r="31" spans="1:7" x14ac:dyDescent="0.3">
      <c r="B31" s="4" t="s">
        <v>170</v>
      </c>
      <c r="C31" s="4" t="s">
        <v>171</v>
      </c>
      <c r="D31" s="4">
        <v>1.8928571428571419</v>
      </c>
      <c r="E31" s="4" t="s">
        <v>172</v>
      </c>
      <c r="F31" s="4" t="s">
        <v>103</v>
      </c>
      <c r="G31" s="4">
        <v>0.89285714285714191</v>
      </c>
    </row>
    <row r="32" spans="1:7" x14ac:dyDescent="0.3">
      <c r="B32" s="4" t="s">
        <v>173</v>
      </c>
      <c r="C32" s="4" t="s">
        <v>174</v>
      </c>
      <c r="D32" s="4">
        <v>1.4374999999999989</v>
      </c>
      <c r="E32" s="4" t="s">
        <v>175</v>
      </c>
      <c r="F32" s="4" t="s">
        <v>103</v>
      </c>
      <c r="G32" s="4">
        <v>0.93749999999999889</v>
      </c>
    </row>
    <row r="33" spans="2:7" x14ac:dyDescent="0.3">
      <c r="B33" s="4" t="s">
        <v>176</v>
      </c>
      <c r="C33" s="4" t="s">
        <v>177</v>
      </c>
      <c r="D33" s="4">
        <v>1.1249999999999989</v>
      </c>
      <c r="E33" s="4" t="s">
        <v>178</v>
      </c>
      <c r="F33" s="4" t="s">
        <v>96</v>
      </c>
      <c r="G33" s="4">
        <v>0</v>
      </c>
    </row>
    <row r="34" spans="2:7" x14ac:dyDescent="0.3">
      <c r="B34" s="4" t="s">
        <v>179</v>
      </c>
      <c r="C34" s="4" t="s">
        <v>180</v>
      </c>
      <c r="D34" s="4">
        <v>1.278571428571428</v>
      </c>
      <c r="E34" s="4" t="s">
        <v>181</v>
      </c>
      <c r="F34" s="4" t="s">
        <v>103</v>
      </c>
      <c r="G34" s="4">
        <v>0.40357142857142758</v>
      </c>
    </row>
    <row r="35" spans="2:7" x14ac:dyDescent="0.3">
      <c r="B35" s="4" t="s">
        <v>182</v>
      </c>
      <c r="C35" s="4" t="s">
        <v>183</v>
      </c>
      <c r="D35" s="4">
        <v>1.4892857142857141</v>
      </c>
      <c r="E35" s="4" t="s">
        <v>184</v>
      </c>
      <c r="F35" s="4" t="s">
        <v>103</v>
      </c>
      <c r="G35" s="4">
        <v>0.86428571428571366</v>
      </c>
    </row>
    <row r="36" spans="2:7" x14ac:dyDescent="0.3">
      <c r="B36" s="4" t="s">
        <v>185</v>
      </c>
      <c r="C36" s="4" t="s">
        <v>186</v>
      </c>
      <c r="D36" s="4">
        <v>1.7446428571428561</v>
      </c>
      <c r="E36" s="4" t="s">
        <v>187</v>
      </c>
      <c r="F36" s="4" t="s">
        <v>103</v>
      </c>
      <c r="G36" s="4">
        <v>0.86964285714285605</v>
      </c>
    </row>
    <row r="37" spans="2:7" x14ac:dyDescent="0.3">
      <c r="B37" s="4" t="s">
        <v>188</v>
      </c>
      <c r="C37" s="4" t="s">
        <v>189</v>
      </c>
      <c r="D37" s="4">
        <v>1.3267857142857129</v>
      </c>
      <c r="E37" s="4" t="s">
        <v>190</v>
      </c>
      <c r="F37" s="4" t="s">
        <v>103</v>
      </c>
      <c r="G37" s="4">
        <v>0.82678571428571312</v>
      </c>
    </row>
    <row r="38" spans="2:7" ht="15" customHeight="1" thickBot="1" x14ac:dyDescent="0.35">
      <c r="B38" s="2" t="s">
        <v>191</v>
      </c>
      <c r="C38" s="2" t="s">
        <v>192</v>
      </c>
      <c r="D38" s="2">
        <v>0.99999999999999822</v>
      </c>
      <c r="E38" s="2" t="s">
        <v>193</v>
      </c>
      <c r="F38" s="2" t="s">
        <v>96</v>
      </c>
      <c r="G38" s="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K51"/>
  <sheetViews>
    <sheetView zoomScale="70" zoomScaleNormal="101" workbookViewId="0">
      <selection activeCell="C34" sqref="C34"/>
    </sheetView>
  </sheetViews>
  <sheetFormatPr defaultRowHeight="15" x14ac:dyDescent="0.3"/>
  <cols>
    <col min="1" max="1" width="21.109375" style="8" bestFit="1" customWidth="1"/>
    <col min="2" max="2" width="14" style="8" bestFit="1" customWidth="1"/>
    <col min="3" max="3" width="75" style="8" bestFit="1" customWidth="1"/>
    <col min="4" max="4" width="15.77734375" style="8" bestFit="1" customWidth="1"/>
    <col min="5" max="5" width="17.21875" style="8" bestFit="1" customWidth="1"/>
    <col min="6" max="6" width="14.5546875" style="8" bestFit="1" customWidth="1"/>
    <col min="7" max="7" width="8.88671875" style="8" customWidth="1"/>
    <col min="8" max="9" width="15.88671875" style="8" bestFit="1" customWidth="1"/>
    <col min="10" max="10" width="19" style="8" bestFit="1" customWidth="1"/>
    <col min="11" max="14" width="8.88671875" style="8" customWidth="1"/>
    <col min="15" max="16384" width="8.88671875" style="8"/>
  </cols>
  <sheetData>
    <row r="1" spans="1:11" ht="14.4" customHeight="1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s="7" t="s">
        <v>6</v>
      </c>
      <c r="I1" s="7" t="s">
        <v>7</v>
      </c>
      <c r="J1" s="9" t="s">
        <v>8</v>
      </c>
      <c r="K1" s="10"/>
    </row>
    <row r="2" spans="1:11" x14ac:dyDescent="0.3">
      <c r="A2" s="11" t="s">
        <v>9</v>
      </c>
      <c r="B2" s="11">
        <v>2.1</v>
      </c>
      <c r="C2" s="12">
        <v>550</v>
      </c>
      <c r="D2" s="12">
        <v>200</v>
      </c>
      <c r="E2" s="12">
        <v>8</v>
      </c>
      <c r="F2" s="12">
        <v>820</v>
      </c>
      <c r="H2" s="13">
        <f t="shared" ref="H2:H9" si="0">C2*$B$12+D2*$C$12+F2*$D$12</f>
        <v>1.8928571428571417</v>
      </c>
      <c r="I2" s="11" t="s">
        <v>10</v>
      </c>
      <c r="J2" s="14">
        <f t="shared" ref="J2:J9" si="1">B2*$E$12+E2*$F$12</f>
        <v>1</v>
      </c>
      <c r="K2" s="15"/>
    </row>
    <row r="3" spans="1:11" x14ac:dyDescent="0.3">
      <c r="A3" s="16" t="s">
        <v>11</v>
      </c>
      <c r="B3" s="16">
        <v>0.5</v>
      </c>
      <c r="C3" s="17">
        <v>400</v>
      </c>
      <c r="D3" s="17">
        <v>150</v>
      </c>
      <c r="E3" s="17">
        <v>4</v>
      </c>
      <c r="F3" s="17">
        <v>710</v>
      </c>
      <c r="H3" s="18">
        <f t="shared" si="0"/>
        <v>1.4374999999999989</v>
      </c>
      <c r="I3" s="16" t="s">
        <v>10</v>
      </c>
      <c r="J3" s="19">
        <f t="shared" si="1"/>
        <v>0.5</v>
      </c>
      <c r="K3" s="15"/>
    </row>
    <row r="4" spans="1:11" x14ac:dyDescent="0.3">
      <c r="A4" s="11" t="s">
        <v>12</v>
      </c>
      <c r="B4" s="11">
        <v>3</v>
      </c>
      <c r="C4" s="12">
        <v>300</v>
      </c>
      <c r="D4" s="12">
        <v>400</v>
      </c>
      <c r="E4" s="12">
        <v>9</v>
      </c>
      <c r="F4" s="12">
        <v>620</v>
      </c>
      <c r="H4" s="13">
        <f t="shared" si="0"/>
        <v>1.1249999999999989</v>
      </c>
      <c r="I4" s="11" t="s">
        <v>10</v>
      </c>
      <c r="J4" s="14">
        <f t="shared" si="1"/>
        <v>1.125</v>
      </c>
      <c r="K4" s="15"/>
    </row>
    <row r="5" spans="1:11" x14ac:dyDescent="0.3">
      <c r="A5" s="16" t="s">
        <v>13</v>
      </c>
      <c r="B5" s="16">
        <v>2</v>
      </c>
      <c r="C5" s="17">
        <v>350</v>
      </c>
      <c r="D5" s="17">
        <v>450</v>
      </c>
      <c r="E5" s="17">
        <v>7</v>
      </c>
      <c r="F5" s="17">
        <v>660</v>
      </c>
      <c r="H5" s="18">
        <f t="shared" si="0"/>
        <v>1.2785714285714276</v>
      </c>
      <c r="I5" s="16" t="s">
        <v>10</v>
      </c>
      <c r="J5" s="19">
        <f t="shared" si="1"/>
        <v>0.875</v>
      </c>
      <c r="K5" s="15"/>
    </row>
    <row r="6" spans="1:11" x14ac:dyDescent="0.3">
      <c r="A6" s="11" t="s">
        <v>14</v>
      </c>
      <c r="B6" s="11">
        <v>1</v>
      </c>
      <c r="C6" s="12">
        <v>450</v>
      </c>
      <c r="D6" s="12">
        <v>300</v>
      </c>
      <c r="E6" s="12">
        <v>5</v>
      </c>
      <c r="F6" s="12">
        <v>560</v>
      </c>
      <c r="H6" s="13">
        <f t="shared" si="0"/>
        <v>1.4892857142857134</v>
      </c>
      <c r="I6" s="11" t="s">
        <v>10</v>
      </c>
      <c r="J6" s="14">
        <f t="shared" si="1"/>
        <v>0.625</v>
      </c>
      <c r="K6" s="15"/>
    </row>
    <row r="7" spans="1:11" x14ac:dyDescent="0.3">
      <c r="A7" s="16" t="s">
        <v>15</v>
      </c>
      <c r="B7" s="16">
        <v>1.5</v>
      </c>
      <c r="C7" s="17">
        <v>500</v>
      </c>
      <c r="D7" s="17">
        <v>150</v>
      </c>
      <c r="E7" s="17">
        <v>7</v>
      </c>
      <c r="F7" s="17">
        <v>790</v>
      </c>
      <c r="H7" s="18">
        <f t="shared" si="0"/>
        <v>1.7446428571428558</v>
      </c>
      <c r="I7" s="16" t="s">
        <v>10</v>
      </c>
      <c r="J7" s="19">
        <f t="shared" si="1"/>
        <v>0.875</v>
      </c>
      <c r="K7" s="15"/>
    </row>
    <row r="8" spans="1:11" x14ac:dyDescent="0.3">
      <c r="A8" s="11" t="s">
        <v>16</v>
      </c>
      <c r="B8" s="11">
        <v>0.6</v>
      </c>
      <c r="C8" s="12">
        <v>350</v>
      </c>
      <c r="D8" s="12">
        <v>200</v>
      </c>
      <c r="E8" s="12">
        <v>4</v>
      </c>
      <c r="F8" s="12">
        <v>750</v>
      </c>
      <c r="H8" s="13">
        <f t="shared" si="0"/>
        <v>1.3267857142857129</v>
      </c>
      <c r="I8" s="11" t="s">
        <v>10</v>
      </c>
      <c r="J8" s="14">
        <f t="shared" si="1"/>
        <v>0.5</v>
      </c>
      <c r="K8" s="15"/>
    </row>
    <row r="9" spans="1:11" ht="14.4" customHeight="1" thickBot="1" x14ac:dyDescent="0.35">
      <c r="A9" s="16" t="s">
        <v>17</v>
      </c>
      <c r="B9" s="16">
        <v>1.8</v>
      </c>
      <c r="C9" s="17">
        <v>200</v>
      </c>
      <c r="D9" s="17">
        <v>600</v>
      </c>
      <c r="E9" s="17">
        <v>8</v>
      </c>
      <c r="F9" s="17">
        <v>880</v>
      </c>
      <c r="H9" s="18">
        <f t="shared" si="0"/>
        <v>0.99999999999999822</v>
      </c>
      <c r="I9" s="16" t="s">
        <v>10</v>
      </c>
      <c r="J9" s="19">
        <f t="shared" si="1"/>
        <v>1</v>
      </c>
      <c r="K9" s="15"/>
    </row>
    <row r="10" spans="1:11" ht="14.4" customHeight="1" thickBot="1" x14ac:dyDescent="0.35"/>
    <row r="11" spans="1:11" ht="14.4" customHeight="1" thickBot="1" x14ac:dyDescent="0.35">
      <c r="A11" s="20" t="s">
        <v>18</v>
      </c>
      <c r="B11" s="20" t="s">
        <v>19</v>
      </c>
      <c r="C11" s="21" t="s">
        <v>20</v>
      </c>
      <c r="D11" s="21" t="s">
        <v>21</v>
      </c>
      <c r="E11" s="21" t="s">
        <v>22</v>
      </c>
      <c r="F11" s="22" t="s">
        <v>23</v>
      </c>
    </row>
    <row r="12" spans="1:11" ht="14.4" customHeight="1" thickBot="1" x14ac:dyDescent="0.35">
      <c r="A12" s="20" t="s">
        <v>24</v>
      </c>
      <c r="B12" s="23">
        <v>2.6428571428571438E-3</v>
      </c>
      <c r="C12" s="24">
        <v>0</v>
      </c>
      <c r="D12" s="24">
        <v>5.3571428571428346E-4</v>
      </c>
      <c r="E12" s="24">
        <v>0</v>
      </c>
      <c r="F12" s="25">
        <v>0.125</v>
      </c>
    </row>
    <row r="13" spans="1:11" ht="14.4" customHeight="1" thickBot="1" x14ac:dyDescent="0.35"/>
    <row r="14" spans="1:11" x14ac:dyDescent="0.3">
      <c r="A14" s="26" t="s">
        <v>25</v>
      </c>
      <c r="B14" s="27"/>
      <c r="C14" s="28"/>
      <c r="D14" s="29"/>
    </row>
    <row r="15" spans="1:11" x14ac:dyDescent="0.3">
      <c r="A15" s="30" t="s">
        <v>26</v>
      </c>
      <c r="B15" s="31">
        <v>8</v>
      </c>
      <c r="D15" s="32"/>
    </row>
    <row r="16" spans="1:11" x14ac:dyDescent="0.3">
      <c r="A16" s="30" t="s">
        <v>27</v>
      </c>
      <c r="B16" s="33">
        <f t="array" ref="B16">SUMPRODUCT((H2:H9)*(ROW(H2:H9)=ROW(H1)+B15))</f>
        <v>0.99999999999999822</v>
      </c>
      <c r="C16" s="34" t="s">
        <v>28</v>
      </c>
      <c r="D16" s="35">
        <v>1</v>
      </c>
    </row>
    <row r="17" spans="1:4" x14ac:dyDescent="0.3">
      <c r="A17" s="30" t="s">
        <v>29</v>
      </c>
      <c r="B17" s="36">
        <f t="array" ref="B17">SUMPRODUCT((J2:J9)*(ROW(J2:J9)=ROW(J1)+B15))</f>
        <v>1</v>
      </c>
      <c r="C17" s="34" t="s">
        <v>30</v>
      </c>
      <c r="D17" s="32" t="s">
        <v>31</v>
      </c>
    </row>
    <row r="18" spans="1:4" ht="14.4" customHeight="1" thickBot="1" x14ac:dyDescent="0.35">
      <c r="A18" s="37" t="s">
        <v>32</v>
      </c>
      <c r="B18" s="38">
        <f>B17/B16</f>
        <v>1.0000000000000018</v>
      </c>
      <c r="C18" s="39"/>
      <c r="D18" s="40" t="str">
        <f>IF(B18&gt;=0.9999,"Efficient","Inefficient")</f>
        <v>Efficient</v>
      </c>
    </row>
    <row r="19" spans="1:4" ht="14.4" customHeight="1" x14ac:dyDescent="0.3"/>
    <row r="20" spans="1:4" ht="14.4" customHeight="1" x14ac:dyDescent="0.3">
      <c r="A20" s="41" t="s">
        <v>33</v>
      </c>
      <c r="B20" s="42">
        <v>1</v>
      </c>
      <c r="C20" s="43" t="str">
        <f t="shared" ref="C20:C26" si="2">IF(B20&gt;=0.9999,"Efficient","Inefficient")</f>
        <v>Efficient</v>
      </c>
    </row>
    <row r="21" spans="1:4" x14ac:dyDescent="0.3">
      <c r="A21" s="44" t="s">
        <v>34</v>
      </c>
      <c r="B21" s="45">
        <v>0.65959999999999996</v>
      </c>
      <c r="C21" s="46" t="str">
        <f t="shared" si="2"/>
        <v>Inefficient</v>
      </c>
    </row>
    <row r="22" spans="1:4" x14ac:dyDescent="0.3">
      <c r="A22" s="47" t="s">
        <v>35</v>
      </c>
      <c r="B22" s="42">
        <v>1</v>
      </c>
      <c r="C22" s="43" t="str">
        <f t="shared" si="2"/>
        <v>Efficient</v>
      </c>
    </row>
    <row r="23" spans="1:4" x14ac:dyDescent="0.3">
      <c r="A23" s="44" t="s">
        <v>36</v>
      </c>
      <c r="B23" s="45">
        <v>0.73060000000000003</v>
      </c>
      <c r="C23" s="46" t="str">
        <f t="shared" si="2"/>
        <v>Inefficient</v>
      </c>
    </row>
    <row r="24" spans="1:4" x14ac:dyDescent="0.3">
      <c r="A24" s="47" t="s">
        <v>37</v>
      </c>
      <c r="B24" s="45">
        <v>0.67549999999999999</v>
      </c>
      <c r="C24" s="46" t="str">
        <f t="shared" si="2"/>
        <v>Inefficient</v>
      </c>
    </row>
    <row r="25" spans="1:4" x14ac:dyDescent="0.3">
      <c r="A25" s="44" t="s">
        <v>38</v>
      </c>
      <c r="B25" s="42">
        <v>1</v>
      </c>
      <c r="C25" s="43" t="str">
        <f t="shared" si="2"/>
        <v>Efficient</v>
      </c>
    </row>
    <row r="26" spans="1:4" x14ac:dyDescent="0.3">
      <c r="A26" s="47" t="s">
        <v>39</v>
      </c>
      <c r="B26" s="45">
        <v>0.62780000000000002</v>
      </c>
      <c r="C26" s="46" t="str">
        <f t="shared" si="2"/>
        <v>Inefficient</v>
      </c>
    </row>
    <row r="27" spans="1:4" ht="14.4" customHeight="1" x14ac:dyDescent="0.3">
      <c r="A27" s="44" t="s">
        <v>40</v>
      </c>
      <c r="B27" s="42">
        <v>1</v>
      </c>
      <c r="C27" s="43" t="s">
        <v>41</v>
      </c>
    </row>
    <row r="28" spans="1:4" x14ac:dyDescent="0.3">
      <c r="A28" s="34"/>
    </row>
    <row r="31" spans="1:4" ht="15.6" customHeight="1" x14ac:dyDescent="0.3">
      <c r="A31" s="102" t="s">
        <v>42</v>
      </c>
      <c r="B31" s="103"/>
      <c r="C31" s="104"/>
    </row>
    <row r="32" spans="1:4" x14ac:dyDescent="0.3">
      <c r="A32" s="48" t="s">
        <v>43</v>
      </c>
      <c r="B32" s="48" t="s">
        <v>44</v>
      </c>
      <c r="C32" s="49" t="s">
        <v>45</v>
      </c>
    </row>
    <row r="33" spans="1:3" ht="28.8" customHeight="1" x14ac:dyDescent="0.3">
      <c r="A33" s="50">
        <v>1</v>
      </c>
      <c r="B33" s="51" t="s">
        <v>46</v>
      </c>
      <c r="C33" s="52" t="s">
        <v>47</v>
      </c>
    </row>
    <row r="34" spans="1:3" ht="28.8" customHeight="1" x14ac:dyDescent="0.3">
      <c r="A34" s="53">
        <v>2</v>
      </c>
      <c r="B34" s="54" t="s">
        <v>48</v>
      </c>
      <c r="C34" s="55" t="s">
        <v>49</v>
      </c>
    </row>
    <row r="35" spans="1:3" x14ac:dyDescent="0.3">
      <c r="A35" s="50">
        <v>3</v>
      </c>
      <c r="B35" s="51" t="s">
        <v>50</v>
      </c>
      <c r="C35" s="52" t="s">
        <v>51</v>
      </c>
    </row>
    <row r="36" spans="1:3" x14ac:dyDescent="0.3">
      <c r="A36" s="53">
        <v>4</v>
      </c>
      <c r="B36" s="54" t="s">
        <v>52</v>
      </c>
      <c r="C36" s="55" t="s">
        <v>53</v>
      </c>
    </row>
    <row r="37" spans="1:3" ht="28.8" customHeight="1" x14ac:dyDescent="0.3">
      <c r="A37" s="50">
        <v>5</v>
      </c>
      <c r="B37" s="51" t="s">
        <v>54</v>
      </c>
      <c r="C37" s="52" t="s">
        <v>55</v>
      </c>
    </row>
    <row r="38" spans="1:3" x14ac:dyDescent="0.3">
      <c r="A38" s="53">
        <v>6</v>
      </c>
      <c r="B38" s="54" t="s">
        <v>56</v>
      </c>
      <c r="C38" s="55" t="s">
        <v>57</v>
      </c>
    </row>
    <row r="39" spans="1:3" x14ac:dyDescent="0.3">
      <c r="A39" s="50">
        <v>7</v>
      </c>
      <c r="B39" s="51" t="s">
        <v>58</v>
      </c>
      <c r="C39" s="52" t="s">
        <v>59</v>
      </c>
    </row>
    <row r="40" spans="1:3" x14ac:dyDescent="0.3">
      <c r="A40" s="53">
        <v>8</v>
      </c>
      <c r="B40" s="54" t="s">
        <v>60</v>
      </c>
      <c r="C40" s="55" t="s">
        <v>61</v>
      </c>
    </row>
    <row r="43" spans="1:3" ht="15.6" x14ac:dyDescent="0.3">
      <c r="A43" s="100"/>
      <c r="B43" s="101"/>
      <c r="C43" s="101"/>
    </row>
    <row r="44" spans="1:3" x14ac:dyDescent="0.3">
      <c r="A44" s="84"/>
      <c r="B44" s="84"/>
      <c r="C44" s="85"/>
    </row>
    <row r="45" spans="1:3" x14ac:dyDescent="0.3">
      <c r="A45" s="86"/>
      <c r="B45" s="87"/>
      <c r="C45" s="88"/>
    </row>
    <row r="46" spans="1:3" x14ac:dyDescent="0.3">
      <c r="A46" s="86"/>
      <c r="B46" s="87"/>
      <c r="C46" s="88"/>
    </row>
    <row r="47" spans="1:3" x14ac:dyDescent="0.3">
      <c r="A47" s="86"/>
      <c r="B47" s="87"/>
      <c r="C47" s="88"/>
    </row>
    <row r="48" spans="1:3" x14ac:dyDescent="0.3">
      <c r="A48" s="86"/>
      <c r="B48" s="87"/>
      <c r="C48" s="88"/>
    </row>
    <row r="49" spans="1:3" x14ac:dyDescent="0.3">
      <c r="A49" s="86"/>
      <c r="B49" s="87"/>
      <c r="C49" s="88"/>
    </row>
    <row r="50" spans="1:3" x14ac:dyDescent="0.3">
      <c r="A50" s="86"/>
      <c r="B50" s="87"/>
      <c r="C50" s="88"/>
    </row>
    <row r="51" spans="1:3" x14ac:dyDescent="0.3">
      <c r="A51" s="86"/>
      <c r="B51" s="87"/>
      <c r="C51" s="88"/>
    </row>
  </sheetData>
  <mergeCells count="2">
    <mergeCell ref="A43:C43"/>
    <mergeCell ref="A31:C3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G35"/>
  <sheetViews>
    <sheetView showGridLines="0" topLeftCell="A2" workbookViewId="0"/>
  </sheetViews>
  <sheetFormatPr defaultRowHeight="14.4" x14ac:dyDescent="0.3"/>
  <cols>
    <col min="1" max="1" width="2.33203125" customWidth="1"/>
    <col min="2" max="2" width="6.21875" bestFit="1" customWidth="1"/>
    <col min="3" max="3" width="20.2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5.33203125" bestFit="1" customWidth="1"/>
  </cols>
  <sheetData>
    <row r="1" spans="1:5" x14ac:dyDescent="0.3">
      <c r="A1" s="1" t="s">
        <v>63</v>
      </c>
    </row>
    <row r="2" spans="1:5" x14ac:dyDescent="0.3">
      <c r="A2" s="1" t="s">
        <v>208</v>
      </c>
    </row>
    <row r="3" spans="1:5" x14ac:dyDescent="0.3">
      <c r="A3" s="1" t="s">
        <v>209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210</v>
      </c>
    </row>
    <row r="8" spans="1:5" x14ac:dyDescent="0.3">
      <c r="A8" s="1"/>
      <c r="B8" t="s">
        <v>211</v>
      </c>
    </row>
    <row r="9" spans="1:5" x14ac:dyDescent="0.3">
      <c r="A9" s="1" t="s">
        <v>71</v>
      </c>
    </row>
    <row r="10" spans="1:5" x14ac:dyDescent="0.3">
      <c r="B10" t="s">
        <v>212</v>
      </c>
    </row>
    <row r="11" spans="1:5" x14ac:dyDescent="0.3">
      <c r="B11" t="s">
        <v>73</v>
      </c>
    </row>
    <row r="14" spans="1:5" ht="15" customHeight="1" thickBot="1" x14ac:dyDescent="0.35">
      <c r="A14" t="s">
        <v>213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214</v>
      </c>
      <c r="C16" s="2" t="s">
        <v>215</v>
      </c>
      <c r="D16" s="2">
        <v>1700000</v>
      </c>
      <c r="E16" s="2">
        <v>1400000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216</v>
      </c>
      <c r="C21" s="4" t="s">
        <v>217</v>
      </c>
      <c r="D21" s="4">
        <v>1000</v>
      </c>
      <c r="E21" s="4">
        <v>2000</v>
      </c>
      <c r="F21" s="4" t="s">
        <v>84</v>
      </c>
    </row>
    <row r="22" spans="1:7" x14ac:dyDescent="0.3">
      <c r="B22" s="4" t="s">
        <v>218</v>
      </c>
      <c r="C22" s="4" t="s">
        <v>219</v>
      </c>
      <c r="D22" s="4">
        <v>0</v>
      </c>
      <c r="E22" s="4">
        <v>0</v>
      </c>
      <c r="F22" s="4" t="s">
        <v>84</v>
      </c>
    </row>
    <row r="23" spans="1:7" x14ac:dyDescent="0.3">
      <c r="B23" s="4" t="s">
        <v>220</v>
      </c>
      <c r="C23" s="4" t="s">
        <v>221</v>
      </c>
      <c r="D23" s="4">
        <v>0</v>
      </c>
      <c r="E23" s="4">
        <v>0</v>
      </c>
      <c r="F23" s="4" t="s">
        <v>84</v>
      </c>
    </row>
    <row r="24" spans="1:7" x14ac:dyDescent="0.3">
      <c r="B24" s="4" t="s">
        <v>222</v>
      </c>
      <c r="C24" s="4" t="s">
        <v>223</v>
      </c>
      <c r="D24" s="4">
        <v>1000</v>
      </c>
      <c r="E24" s="4">
        <v>1000</v>
      </c>
      <c r="F24" s="4" t="s">
        <v>84</v>
      </c>
    </row>
    <row r="25" spans="1:7" x14ac:dyDescent="0.3">
      <c r="B25" s="4" t="s">
        <v>224</v>
      </c>
      <c r="C25" s="4" t="s">
        <v>225</v>
      </c>
      <c r="D25" s="4">
        <v>2200</v>
      </c>
      <c r="E25" s="4">
        <v>1200</v>
      </c>
      <c r="F25" s="4" t="s">
        <v>84</v>
      </c>
    </row>
    <row r="26" spans="1:7" ht="15" customHeight="1" thickBot="1" x14ac:dyDescent="0.35">
      <c r="B26" s="2" t="s">
        <v>226</v>
      </c>
      <c r="C26" s="2" t="s">
        <v>227</v>
      </c>
      <c r="D26" s="2">
        <v>0</v>
      </c>
      <c r="E26" s="2">
        <v>0</v>
      </c>
      <c r="F26" s="2" t="s">
        <v>84</v>
      </c>
    </row>
    <row r="29" spans="1:7" ht="15" customHeight="1" thickBot="1" x14ac:dyDescent="0.35">
      <c r="A29" t="s">
        <v>88</v>
      </c>
    </row>
    <row r="30" spans="1:7" ht="15" customHeight="1" thickBot="1" x14ac:dyDescent="0.35">
      <c r="B30" s="3" t="s">
        <v>44</v>
      </c>
      <c r="C30" s="3" t="s">
        <v>75</v>
      </c>
      <c r="D30" s="3" t="s">
        <v>89</v>
      </c>
      <c r="E30" s="3" t="s">
        <v>90</v>
      </c>
      <c r="F30" s="3" t="s">
        <v>91</v>
      </c>
      <c r="G30" s="3" t="s">
        <v>92</v>
      </c>
    </row>
    <row r="31" spans="1:7" x14ac:dyDescent="0.3">
      <c r="B31" s="4" t="s">
        <v>228</v>
      </c>
      <c r="C31" s="4" t="s">
        <v>229</v>
      </c>
      <c r="D31" s="4">
        <v>3200</v>
      </c>
      <c r="E31" s="4" t="s">
        <v>230</v>
      </c>
      <c r="F31" s="4" t="s">
        <v>96</v>
      </c>
      <c r="G31" s="4">
        <v>0</v>
      </c>
    </row>
    <row r="32" spans="1:7" x14ac:dyDescent="0.3">
      <c r="B32" s="4" t="s">
        <v>231</v>
      </c>
      <c r="C32" s="4" t="s">
        <v>232</v>
      </c>
      <c r="D32" s="4">
        <v>1000</v>
      </c>
      <c r="E32" s="4" t="s">
        <v>233</v>
      </c>
      <c r="F32" s="4" t="s">
        <v>96</v>
      </c>
      <c r="G32" s="4">
        <v>0</v>
      </c>
    </row>
    <row r="33" spans="2:7" x14ac:dyDescent="0.3">
      <c r="B33" s="4" t="s">
        <v>234</v>
      </c>
      <c r="C33" s="4" t="s">
        <v>235</v>
      </c>
      <c r="D33" s="4">
        <v>2000</v>
      </c>
      <c r="E33" s="4" t="s">
        <v>236</v>
      </c>
      <c r="F33" s="4" t="s">
        <v>96</v>
      </c>
      <c r="G33" s="4">
        <v>0</v>
      </c>
    </row>
    <row r="34" spans="2:7" x14ac:dyDescent="0.3">
      <c r="B34" s="4" t="s">
        <v>237</v>
      </c>
      <c r="C34" s="4" t="s">
        <v>238</v>
      </c>
      <c r="D34" s="4">
        <v>1000</v>
      </c>
      <c r="E34" s="4" t="s">
        <v>239</v>
      </c>
      <c r="F34" s="4" t="s">
        <v>103</v>
      </c>
      <c r="G34" s="4">
        <v>500</v>
      </c>
    </row>
    <row r="35" spans="2:7" ht="15" customHeight="1" thickBot="1" x14ac:dyDescent="0.35">
      <c r="B35" s="2" t="s">
        <v>240</v>
      </c>
      <c r="C35" s="2" t="s">
        <v>241</v>
      </c>
      <c r="D35" s="2">
        <v>1200</v>
      </c>
      <c r="E35" s="2" t="s">
        <v>242</v>
      </c>
      <c r="F35" s="2" t="s">
        <v>103</v>
      </c>
      <c r="G35" s="2">
        <v>1300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H2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20.21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" t="s">
        <v>243</v>
      </c>
    </row>
    <row r="2" spans="1:8" x14ac:dyDescent="0.3">
      <c r="A2" s="1" t="s">
        <v>208</v>
      </c>
    </row>
    <row r="3" spans="1:8" x14ac:dyDescent="0.3">
      <c r="A3" s="1" t="s">
        <v>209</v>
      </c>
    </row>
    <row r="6" spans="1:8" ht="15" customHeight="1" thickBot="1" x14ac:dyDescent="0.35">
      <c r="A6" t="s">
        <v>80</v>
      </c>
    </row>
    <row r="7" spans="1:8" x14ac:dyDescent="0.3">
      <c r="B7" s="5"/>
      <c r="C7" s="5"/>
      <c r="D7" s="5" t="s">
        <v>244</v>
      </c>
      <c r="E7" s="5" t="s">
        <v>245</v>
      </c>
      <c r="F7" s="5" t="s">
        <v>246</v>
      </c>
      <c r="G7" s="5" t="s">
        <v>247</v>
      </c>
      <c r="H7" s="5" t="s">
        <v>247</v>
      </c>
    </row>
    <row r="8" spans="1:8" ht="15" customHeight="1" thickBot="1" x14ac:dyDescent="0.35">
      <c r="B8" s="6" t="s">
        <v>44</v>
      </c>
      <c r="C8" s="6" t="s">
        <v>75</v>
      </c>
      <c r="D8" s="6" t="s">
        <v>248</v>
      </c>
      <c r="E8" s="6" t="s">
        <v>249</v>
      </c>
      <c r="F8" s="6" t="s">
        <v>250</v>
      </c>
      <c r="G8" s="6" t="s">
        <v>251</v>
      </c>
      <c r="H8" s="6" t="s">
        <v>252</v>
      </c>
    </row>
    <row r="9" spans="1:8" x14ac:dyDescent="0.3">
      <c r="B9" s="4" t="s">
        <v>216</v>
      </c>
      <c r="C9" s="4" t="s">
        <v>217</v>
      </c>
      <c r="D9" s="4">
        <v>2000</v>
      </c>
      <c r="E9" s="4">
        <v>0</v>
      </c>
      <c r="F9" s="4">
        <v>200</v>
      </c>
      <c r="G9" s="4">
        <v>300</v>
      </c>
      <c r="H9" s="4">
        <v>1E+30</v>
      </c>
    </row>
    <row r="10" spans="1:8" x14ac:dyDescent="0.3">
      <c r="B10" s="4" t="s">
        <v>218</v>
      </c>
      <c r="C10" s="4" t="s">
        <v>219</v>
      </c>
      <c r="D10" s="4">
        <v>0</v>
      </c>
      <c r="E10" s="4">
        <v>400</v>
      </c>
      <c r="F10" s="4">
        <v>500</v>
      </c>
      <c r="G10" s="4">
        <v>1E+30</v>
      </c>
      <c r="H10" s="4">
        <v>400</v>
      </c>
    </row>
    <row r="11" spans="1:8" x14ac:dyDescent="0.3">
      <c r="B11" s="4" t="s">
        <v>220</v>
      </c>
      <c r="C11" s="4" t="s">
        <v>221</v>
      </c>
      <c r="D11" s="4">
        <v>0</v>
      </c>
      <c r="E11" s="4">
        <v>300</v>
      </c>
      <c r="F11" s="4">
        <v>800</v>
      </c>
      <c r="G11" s="4">
        <v>1E+30</v>
      </c>
      <c r="H11" s="4">
        <v>300</v>
      </c>
    </row>
    <row r="12" spans="1:8" x14ac:dyDescent="0.3">
      <c r="B12" s="4" t="s">
        <v>222</v>
      </c>
      <c r="C12" s="4" t="s">
        <v>223</v>
      </c>
      <c r="D12" s="4">
        <v>1000</v>
      </c>
      <c r="E12" s="4">
        <v>0</v>
      </c>
      <c r="F12" s="4">
        <v>400</v>
      </c>
      <c r="G12" s="4">
        <v>400</v>
      </c>
      <c r="H12" s="4">
        <v>1E+30</v>
      </c>
    </row>
    <row r="13" spans="1:8" x14ac:dyDescent="0.3">
      <c r="B13" s="4" t="s">
        <v>224</v>
      </c>
      <c r="C13" s="4" t="s">
        <v>225</v>
      </c>
      <c r="D13" s="4">
        <v>1200</v>
      </c>
      <c r="E13" s="4">
        <v>0</v>
      </c>
      <c r="F13" s="4">
        <v>500</v>
      </c>
      <c r="G13" s="4">
        <v>300</v>
      </c>
      <c r="H13" s="4">
        <v>300</v>
      </c>
    </row>
    <row r="14" spans="1:8" ht="15" customHeight="1" thickBot="1" x14ac:dyDescent="0.35">
      <c r="B14" s="2" t="s">
        <v>226</v>
      </c>
      <c r="C14" s="2" t="s">
        <v>227</v>
      </c>
      <c r="D14" s="2">
        <v>0</v>
      </c>
      <c r="E14" s="2">
        <v>600</v>
      </c>
      <c r="F14" s="2">
        <v>1000</v>
      </c>
      <c r="G14" s="2">
        <v>1E+30</v>
      </c>
      <c r="H14" s="2">
        <v>600</v>
      </c>
    </row>
    <row r="16" spans="1:8" ht="15" customHeight="1" thickBot="1" x14ac:dyDescent="0.35">
      <c r="A16" t="s">
        <v>88</v>
      </c>
    </row>
    <row r="17" spans="2:8" x14ac:dyDescent="0.3">
      <c r="B17" s="5"/>
      <c r="C17" s="5"/>
      <c r="D17" s="5" t="s">
        <v>244</v>
      </c>
      <c r="E17" s="5" t="s">
        <v>253</v>
      </c>
      <c r="F17" s="5" t="s">
        <v>254</v>
      </c>
      <c r="G17" s="5" t="s">
        <v>247</v>
      </c>
      <c r="H17" s="5" t="s">
        <v>247</v>
      </c>
    </row>
    <row r="18" spans="2:8" ht="15" customHeight="1" thickBot="1" x14ac:dyDescent="0.35">
      <c r="B18" s="6" t="s">
        <v>44</v>
      </c>
      <c r="C18" s="6" t="s">
        <v>75</v>
      </c>
      <c r="D18" s="6" t="s">
        <v>248</v>
      </c>
      <c r="E18" s="6" t="s">
        <v>255</v>
      </c>
      <c r="F18" s="6" t="s">
        <v>256</v>
      </c>
      <c r="G18" s="6" t="s">
        <v>251</v>
      </c>
      <c r="H18" s="6" t="s">
        <v>252</v>
      </c>
    </row>
    <row r="19" spans="2:8" x14ac:dyDescent="0.3">
      <c r="B19" s="4" t="s">
        <v>228</v>
      </c>
      <c r="C19" s="4" t="s">
        <v>229</v>
      </c>
      <c r="D19" s="4">
        <v>3200</v>
      </c>
      <c r="E19" s="4">
        <v>500</v>
      </c>
      <c r="F19" s="4">
        <v>3200</v>
      </c>
      <c r="G19" s="4">
        <v>1300</v>
      </c>
      <c r="H19" s="4">
        <v>1200</v>
      </c>
    </row>
    <row r="20" spans="2:8" x14ac:dyDescent="0.3">
      <c r="B20" s="4" t="s">
        <v>231</v>
      </c>
      <c r="C20" s="4" t="s">
        <v>232</v>
      </c>
      <c r="D20" s="4">
        <v>1000</v>
      </c>
      <c r="E20" s="4">
        <v>400</v>
      </c>
      <c r="F20" s="4">
        <v>1000</v>
      </c>
      <c r="G20" s="4">
        <v>500</v>
      </c>
      <c r="H20" s="4">
        <v>1000</v>
      </c>
    </row>
    <row r="21" spans="2:8" x14ac:dyDescent="0.3">
      <c r="B21" s="4" t="s">
        <v>234</v>
      </c>
      <c r="C21" s="4" t="s">
        <v>235</v>
      </c>
      <c r="D21" s="4">
        <v>2000</v>
      </c>
      <c r="E21" s="4">
        <v>-300</v>
      </c>
      <c r="F21" s="4">
        <v>2000</v>
      </c>
      <c r="G21" s="4">
        <v>1200</v>
      </c>
      <c r="H21" s="4">
        <v>1300</v>
      </c>
    </row>
    <row r="22" spans="2:8" x14ac:dyDescent="0.3">
      <c r="B22" s="4" t="s">
        <v>237</v>
      </c>
      <c r="C22" s="4" t="s">
        <v>238</v>
      </c>
      <c r="D22" s="4">
        <v>1000</v>
      </c>
      <c r="E22" s="4">
        <v>0</v>
      </c>
      <c r="F22" s="4">
        <v>1500</v>
      </c>
      <c r="G22" s="4">
        <v>1E+30</v>
      </c>
      <c r="H22" s="4">
        <v>500</v>
      </c>
    </row>
    <row r="23" spans="2:8" ht="15" customHeight="1" thickBot="1" x14ac:dyDescent="0.35">
      <c r="B23" s="2" t="s">
        <v>240</v>
      </c>
      <c r="C23" s="2" t="s">
        <v>241</v>
      </c>
      <c r="D23" s="2">
        <v>1200</v>
      </c>
      <c r="E23" s="2">
        <v>0</v>
      </c>
      <c r="F23" s="2">
        <v>2500</v>
      </c>
      <c r="G23" s="2">
        <v>1E+30</v>
      </c>
      <c r="H23" s="2">
        <v>1300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D23"/>
  <sheetViews>
    <sheetView zoomScale="87" workbookViewId="0">
      <selection activeCell="F18" sqref="F18"/>
    </sheetView>
  </sheetViews>
  <sheetFormatPr defaultRowHeight="15" x14ac:dyDescent="0.3"/>
  <cols>
    <col min="1" max="1" width="12.44140625" style="8" bestFit="1" customWidth="1"/>
    <col min="2" max="2" width="14" style="8" bestFit="1" customWidth="1"/>
    <col min="3" max="3" width="75" style="8" customWidth="1"/>
    <col min="4" max="4" width="12" style="8" bestFit="1" customWidth="1"/>
    <col min="5" max="5" width="8.88671875" style="8" customWidth="1"/>
    <col min="6" max="16384" width="8.88671875" style="8"/>
  </cols>
  <sheetData>
    <row r="1" spans="1:4" x14ac:dyDescent="0.3">
      <c r="A1" s="7"/>
      <c r="B1" s="7" t="s">
        <v>257</v>
      </c>
      <c r="C1" s="7" t="s">
        <v>258</v>
      </c>
      <c r="D1" s="7" t="s">
        <v>259</v>
      </c>
    </row>
    <row r="2" spans="1:4" x14ac:dyDescent="0.3">
      <c r="A2" s="12" t="s">
        <v>260</v>
      </c>
      <c r="B2" s="12">
        <v>200</v>
      </c>
      <c r="C2" s="12">
        <v>500</v>
      </c>
      <c r="D2" s="12">
        <v>2000</v>
      </c>
    </row>
    <row r="3" spans="1:4" x14ac:dyDescent="0.3">
      <c r="A3" s="17" t="s">
        <v>261</v>
      </c>
      <c r="B3" s="17">
        <v>800</v>
      </c>
      <c r="C3" s="17">
        <v>400</v>
      </c>
      <c r="D3" s="17">
        <v>1500</v>
      </c>
    </row>
    <row r="4" spans="1:4" x14ac:dyDescent="0.3">
      <c r="A4" s="12" t="s">
        <v>262</v>
      </c>
      <c r="B4" s="12">
        <v>500</v>
      </c>
      <c r="C4" s="12">
        <v>1000</v>
      </c>
      <c r="D4" s="12">
        <v>2500</v>
      </c>
    </row>
    <row r="5" spans="1:4" x14ac:dyDescent="0.3">
      <c r="A5" s="17" t="s">
        <v>263</v>
      </c>
      <c r="B5" s="17">
        <v>3200</v>
      </c>
      <c r="C5" s="17">
        <v>1000</v>
      </c>
      <c r="D5" s="17"/>
    </row>
    <row r="7" spans="1:4" ht="28.8" customHeight="1" x14ac:dyDescent="0.3">
      <c r="A7" s="7" t="s">
        <v>264</v>
      </c>
      <c r="B7" s="7" t="s">
        <v>257</v>
      </c>
      <c r="C7" s="7" t="s">
        <v>258</v>
      </c>
      <c r="D7" s="7" t="s">
        <v>265</v>
      </c>
    </row>
    <row r="8" spans="1:4" x14ac:dyDescent="0.3">
      <c r="A8" s="12" t="s">
        <v>260</v>
      </c>
      <c r="B8" s="74">
        <v>2000</v>
      </c>
      <c r="C8" s="74">
        <v>0</v>
      </c>
      <c r="D8" s="71">
        <f>SUM(B8:C8)</f>
        <v>2000</v>
      </c>
    </row>
    <row r="9" spans="1:4" x14ac:dyDescent="0.3">
      <c r="A9" s="17" t="s">
        <v>261</v>
      </c>
      <c r="B9" s="74">
        <v>0</v>
      </c>
      <c r="C9" s="74">
        <v>1000</v>
      </c>
      <c r="D9" s="17">
        <f>SUM(B9:C9)</f>
        <v>1000</v>
      </c>
    </row>
    <row r="10" spans="1:4" x14ac:dyDescent="0.3">
      <c r="A10" s="12" t="s">
        <v>262</v>
      </c>
      <c r="B10" s="74">
        <v>1200</v>
      </c>
      <c r="C10" s="74">
        <v>0</v>
      </c>
      <c r="D10" s="12">
        <f>SUM(B10:C10)</f>
        <v>1200</v>
      </c>
    </row>
    <row r="11" spans="1:4" x14ac:dyDescent="0.3">
      <c r="A11" s="17" t="s">
        <v>266</v>
      </c>
      <c r="B11" s="43">
        <f>SUM(B8:B10)</f>
        <v>3200</v>
      </c>
      <c r="C11" s="43">
        <f>SUM(C8:C10)</f>
        <v>1000</v>
      </c>
      <c r="D11" s="17"/>
    </row>
    <row r="13" spans="1:4" x14ac:dyDescent="0.3">
      <c r="A13" s="72" t="s">
        <v>267</v>
      </c>
      <c r="B13" s="73">
        <f>SUMPRODUCT(B2:C4,B8:C10)</f>
        <v>1400000</v>
      </c>
    </row>
    <row r="16" spans="1:4" ht="15.6" customHeight="1" x14ac:dyDescent="0.3">
      <c r="A16" s="105" t="s">
        <v>412</v>
      </c>
      <c r="B16" s="106"/>
      <c r="C16" s="107"/>
    </row>
    <row r="17" spans="1:3" x14ac:dyDescent="0.3">
      <c r="A17" s="93" t="s">
        <v>43</v>
      </c>
      <c r="B17" s="93" t="s">
        <v>62</v>
      </c>
      <c r="C17" s="94" t="s">
        <v>45</v>
      </c>
    </row>
    <row r="18" spans="1:3" ht="28.8" x14ac:dyDescent="0.3">
      <c r="A18" s="82">
        <v>1</v>
      </c>
      <c r="B18" s="81" t="s">
        <v>268</v>
      </c>
      <c r="C18" s="83" t="s">
        <v>269</v>
      </c>
    </row>
    <row r="19" spans="1:3" x14ac:dyDescent="0.3">
      <c r="A19" s="91">
        <v>2</v>
      </c>
      <c r="B19" s="90" t="s">
        <v>270</v>
      </c>
      <c r="C19" s="92" t="s">
        <v>271</v>
      </c>
    </row>
    <row r="20" spans="1:3" x14ac:dyDescent="0.3">
      <c r="A20" s="82">
        <v>3</v>
      </c>
      <c r="B20" s="81" t="s">
        <v>272</v>
      </c>
      <c r="C20" s="83" t="s">
        <v>413</v>
      </c>
    </row>
    <row r="21" spans="1:3" x14ac:dyDescent="0.3">
      <c r="A21" s="91">
        <v>4</v>
      </c>
      <c r="B21" s="90" t="s">
        <v>273</v>
      </c>
      <c r="C21" s="92" t="s">
        <v>414</v>
      </c>
    </row>
    <row r="22" spans="1:3" x14ac:dyDescent="0.3">
      <c r="A22" s="82">
        <v>5</v>
      </c>
      <c r="B22" s="81" t="s">
        <v>274</v>
      </c>
      <c r="C22" s="83" t="s">
        <v>275</v>
      </c>
    </row>
    <row r="23" spans="1:3" ht="28.8" customHeight="1" x14ac:dyDescent="0.3">
      <c r="A23" s="91">
        <v>6</v>
      </c>
      <c r="B23" s="90" t="s">
        <v>276</v>
      </c>
      <c r="C23" s="92" t="s">
        <v>277</v>
      </c>
    </row>
  </sheetData>
  <mergeCells count="1">
    <mergeCell ref="A16:C1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39997558519241921"/>
  </sheetPr>
  <dimension ref="A1:G3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20.21875" bestFit="1" customWidth="1"/>
    <col min="4" max="4" width="12.6640625" bestFit="1" customWidth="1"/>
    <col min="5" max="5" width="12.21875" bestFit="1" customWidth="1"/>
    <col min="6" max="6" width="10.44140625" bestFit="1" customWidth="1"/>
    <col min="7" max="7" width="5.33203125" bestFit="1" customWidth="1"/>
  </cols>
  <sheetData>
    <row r="1" spans="1:5" x14ac:dyDescent="0.3">
      <c r="A1" s="1" t="s">
        <v>63</v>
      </c>
    </row>
    <row r="2" spans="1:5" x14ac:dyDescent="0.3">
      <c r="A2" s="1" t="s">
        <v>278</v>
      </c>
    </row>
    <row r="3" spans="1:5" x14ac:dyDescent="0.3">
      <c r="A3" s="1" t="s">
        <v>279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131</v>
      </c>
    </row>
    <row r="8" spans="1:5" x14ac:dyDescent="0.3">
      <c r="A8" s="1"/>
      <c r="B8" t="s">
        <v>211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213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214</v>
      </c>
      <c r="C16" s="2" t="s">
        <v>215</v>
      </c>
      <c r="D16" s="2">
        <v>1400000</v>
      </c>
      <c r="E16" s="2">
        <v>1200000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216</v>
      </c>
      <c r="C21" s="4" t="s">
        <v>217</v>
      </c>
      <c r="D21" s="4">
        <v>2000</v>
      </c>
      <c r="E21" s="4">
        <v>2000</v>
      </c>
      <c r="F21" s="4" t="s">
        <v>84</v>
      </c>
    </row>
    <row r="22" spans="1:7" x14ac:dyDescent="0.3">
      <c r="B22" s="4" t="s">
        <v>218</v>
      </c>
      <c r="C22" s="4" t="s">
        <v>219</v>
      </c>
      <c r="D22" s="4">
        <v>0</v>
      </c>
      <c r="E22" s="4">
        <v>0</v>
      </c>
      <c r="F22" s="4" t="s">
        <v>84</v>
      </c>
    </row>
    <row r="23" spans="1:7" x14ac:dyDescent="0.3">
      <c r="B23" s="4" t="s">
        <v>220</v>
      </c>
      <c r="C23" s="4" t="s">
        <v>221</v>
      </c>
      <c r="D23" s="4">
        <v>0</v>
      </c>
      <c r="E23" s="4">
        <v>500</v>
      </c>
      <c r="F23" s="4" t="s">
        <v>84</v>
      </c>
    </row>
    <row r="24" spans="1:7" x14ac:dyDescent="0.3">
      <c r="B24" s="4" t="s">
        <v>222</v>
      </c>
      <c r="C24" s="4" t="s">
        <v>223</v>
      </c>
      <c r="D24" s="4">
        <v>1000</v>
      </c>
      <c r="E24" s="4">
        <v>1000</v>
      </c>
      <c r="F24" s="4" t="s">
        <v>84</v>
      </c>
    </row>
    <row r="25" spans="1:7" x14ac:dyDescent="0.3">
      <c r="B25" s="4" t="s">
        <v>224</v>
      </c>
      <c r="C25" s="4" t="s">
        <v>225</v>
      </c>
      <c r="D25" s="4">
        <v>1200</v>
      </c>
      <c r="E25" s="4">
        <v>0</v>
      </c>
      <c r="F25" s="4" t="s">
        <v>84</v>
      </c>
    </row>
    <row r="26" spans="1:7" ht="15" customHeight="1" thickBot="1" x14ac:dyDescent="0.35">
      <c r="B26" s="2" t="s">
        <v>226</v>
      </c>
      <c r="C26" s="2" t="s">
        <v>227</v>
      </c>
      <c r="D26" s="2">
        <v>0</v>
      </c>
      <c r="E26" s="2">
        <v>0</v>
      </c>
      <c r="F26" s="2" t="s">
        <v>84</v>
      </c>
    </row>
    <row r="29" spans="1:7" ht="15" customHeight="1" thickBot="1" x14ac:dyDescent="0.35">
      <c r="A29" t="s">
        <v>88</v>
      </c>
    </row>
    <row r="30" spans="1:7" ht="15" customHeight="1" thickBot="1" x14ac:dyDescent="0.35">
      <c r="B30" s="3" t="s">
        <v>44</v>
      </c>
      <c r="C30" s="3" t="s">
        <v>75</v>
      </c>
      <c r="D30" s="3" t="s">
        <v>89</v>
      </c>
      <c r="E30" s="3" t="s">
        <v>90</v>
      </c>
      <c r="F30" s="3" t="s">
        <v>91</v>
      </c>
      <c r="G30" s="3" t="s">
        <v>92</v>
      </c>
    </row>
    <row r="31" spans="1:7" x14ac:dyDescent="0.3">
      <c r="B31" s="4" t="s">
        <v>228</v>
      </c>
      <c r="C31" s="4" t="s">
        <v>229</v>
      </c>
      <c r="D31" s="4">
        <v>2500</v>
      </c>
      <c r="E31" s="4" t="s">
        <v>280</v>
      </c>
      <c r="F31" s="4" t="s">
        <v>103</v>
      </c>
      <c r="G31" s="4">
        <v>700</v>
      </c>
    </row>
    <row r="32" spans="1:7" x14ac:dyDescent="0.3">
      <c r="B32" s="4" t="s">
        <v>231</v>
      </c>
      <c r="C32" s="4" t="s">
        <v>232</v>
      </c>
      <c r="D32" s="4">
        <v>1000</v>
      </c>
      <c r="E32" s="4" t="s">
        <v>281</v>
      </c>
      <c r="F32" s="4" t="s">
        <v>96</v>
      </c>
      <c r="G32" s="4">
        <v>0</v>
      </c>
    </row>
    <row r="33" spans="2:7" x14ac:dyDescent="0.3">
      <c r="B33" s="4" t="s">
        <v>234</v>
      </c>
      <c r="C33" s="4" t="s">
        <v>235</v>
      </c>
      <c r="D33" s="4">
        <v>2000</v>
      </c>
      <c r="E33" s="4" t="s">
        <v>282</v>
      </c>
      <c r="F33" s="4" t="s">
        <v>96</v>
      </c>
      <c r="G33" s="4">
        <v>0</v>
      </c>
    </row>
    <row r="34" spans="2:7" x14ac:dyDescent="0.3">
      <c r="B34" s="4" t="s">
        <v>237</v>
      </c>
      <c r="C34" s="4" t="s">
        <v>238</v>
      </c>
      <c r="D34" s="4">
        <v>1500</v>
      </c>
      <c r="E34" s="4" t="s">
        <v>283</v>
      </c>
      <c r="F34" s="4" t="s">
        <v>96</v>
      </c>
      <c r="G34" s="4">
        <v>0</v>
      </c>
    </row>
    <row r="35" spans="2:7" ht="15" customHeight="1" thickBot="1" x14ac:dyDescent="0.35">
      <c r="B35" s="2" t="s">
        <v>240</v>
      </c>
      <c r="C35" s="2" t="s">
        <v>241</v>
      </c>
      <c r="D35" s="2">
        <v>0</v>
      </c>
      <c r="E35" s="2" t="s">
        <v>284</v>
      </c>
      <c r="F35" s="2" t="s">
        <v>96</v>
      </c>
      <c r="G35" s="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97558519241921"/>
  </sheetPr>
  <dimension ref="A1:H2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20.21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" t="s">
        <v>243</v>
      </c>
    </row>
    <row r="2" spans="1:8" x14ac:dyDescent="0.3">
      <c r="A2" s="1" t="s">
        <v>278</v>
      </c>
    </row>
    <row r="3" spans="1:8" x14ac:dyDescent="0.3">
      <c r="A3" s="1" t="s">
        <v>279</v>
      </c>
    </row>
    <row r="6" spans="1:8" ht="15" customHeight="1" thickBot="1" x14ac:dyDescent="0.35">
      <c r="A6" t="s">
        <v>80</v>
      </c>
    </row>
    <row r="7" spans="1:8" x14ac:dyDescent="0.3">
      <c r="B7" s="5"/>
      <c r="C7" s="5"/>
      <c r="D7" s="5" t="s">
        <v>244</v>
      </c>
      <c r="E7" s="5" t="s">
        <v>245</v>
      </c>
      <c r="F7" s="5" t="s">
        <v>246</v>
      </c>
      <c r="G7" s="5" t="s">
        <v>247</v>
      </c>
      <c r="H7" s="5" t="s">
        <v>247</v>
      </c>
    </row>
    <row r="8" spans="1:8" ht="15" customHeight="1" thickBot="1" x14ac:dyDescent="0.35">
      <c r="B8" s="6" t="s">
        <v>44</v>
      </c>
      <c r="C8" s="6" t="s">
        <v>75</v>
      </c>
      <c r="D8" s="6" t="s">
        <v>248</v>
      </c>
      <c r="E8" s="6" t="s">
        <v>249</v>
      </c>
      <c r="F8" s="6" t="s">
        <v>250</v>
      </c>
      <c r="G8" s="6" t="s">
        <v>251</v>
      </c>
      <c r="H8" s="6" t="s">
        <v>252</v>
      </c>
    </row>
    <row r="9" spans="1:8" x14ac:dyDescent="0.3">
      <c r="B9" s="4" t="s">
        <v>216</v>
      </c>
      <c r="C9" s="4" t="s">
        <v>217</v>
      </c>
      <c r="D9" s="4">
        <v>2000</v>
      </c>
      <c r="E9" s="4">
        <v>0</v>
      </c>
      <c r="F9" s="4">
        <v>200</v>
      </c>
      <c r="G9" s="4">
        <v>700</v>
      </c>
      <c r="H9" s="4">
        <v>1E+30</v>
      </c>
    </row>
    <row r="10" spans="1:8" x14ac:dyDescent="0.3">
      <c r="B10" s="4" t="s">
        <v>218</v>
      </c>
      <c r="C10" s="4" t="s">
        <v>219</v>
      </c>
      <c r="D10" s="4">
        <v>0</v>
      </c>
      <c r="E10" s="4">
        <v>700</v>
      </c>
      <c r="F10" s="4">
        <v>500</v>
      </c>
      <c r="G10" s="4">
        <v>1E+30</v>
      </c>
      <c r="H10" s="4">
        <v>700</v>
      </c>
    </row>
    <row r="11" spans="1:8" x14ac:dyDescent="0.3">
      <c r="B11" s="4" t="s">
        <v>220</v>
      </c>
      <c r="C11" s="4" t="s">
        <v>221</v>
      </c>
      <c r="D11" s="4">
        <v>500</v>
      </c>
      <c r="E11" s="4">
        <v>0</v>
      </c>
      <c r="F11" s="4">
        <v>800</v>
      </c>
      <c r="G11" s="4">
        <v>1E+30</v>
      </c>
      <c r="H11" s="4">
        <v>400</v>
      </c>
    </row>
    <row r="12" spans="1:8" x14ac:dyDescent="0.3">
      <c r="B12" s="4" t="s">
        <v>222</v>
      </c>
      <c r="C12" s="4" t="s">
        <v>223</v>
      </c>
      <c r="D12" s="4">
        <v>1000</v>
      </c>
      <c r="E12" s="4">
        <v>0</v>
      </c>
      <c r="F12" s="4">
        <v>400</v>
      </c>
      <c r="G12" s="4">
        <v>400</v>
      </c>
      <c r="H12" s="4">
        <v>1E+30</v>
      </c>
    </row>
    <row r="13" spans="1:8" x14ac:dyDescent="0.3">
      <c r="B13" s="4" t="s">
        <v>224</v>
      </c>
      <c r="C13" s="4" t="s">
        <v>225</v>
      </c>
      <c r="D13" s="4">
        <v>0</v>
      </c>
      <c r="E13" s="4">
        <v>0</v>
      </c>
      <c r="F13" s="4">
        <v>500</v>
      </c>
      <c r="G13" s="4">
        <v>900</v>
      </c>
      <c r="H13" s="4">
        <v>1E+30</v>
      </c>
    </row>
    <row r="14" spans="1:8" ht="15" customHeight="1" thickBot="1" x14ac:dyDescent="0.35">
      <c r="B14" s="2" t="s">
        <v>226</v>
      </c>
      <c r="C14" s="2" t="s">
        <v>227</v>
      </c>
      <c r="D14" s="2">
        <v>0</v>
      </c>
      <c r="E14" s="2">
        <v>900</v>
      </c>
      <c r="F14" s="2">
        <v>1000</v>
      </c>
      <c r="G14" s="2">
        <v>1E+30</v>
      </c>
      <c r="H14" s="2">
        <v>900</v>
      </c>
    </row>
    <row r="16" spans="1:8" ht="15" customHeight="1" thickBot="1" x14ac:dyDescent="0.35">
      <c r="A16" t="s">
        <v>88</v>
      </c>
    </row>
    <row r="17" spans="2:8" x14ac:dyDescent="0.3">
      <c r="B17" s="5"/>
      <c r="C17" s="5"/>
      <c r="D17" s="5" t="s">
        <v>244</v>
      </c>
      <c r="E17" s="5" t="s">
        <v>253</v>
      </c>
      <c r="F17" s="5" t="s">
        <v>254</v>
      </c>
      <c r="G17" s="5" t="s">
        <v>247</v>
      </c>
      <c r="H17" s="5" t="s">
        <v>247</v>
      </c>
    </row>
    <row r="18" spans="2:8" ht="15" customHeight="1" thickBot="1" x14ac:dyDescent="0.35">
      <c r="B18" s="6" t="s">
        <v>44</v>
      </c>
      <c r="C18" s="6" t="s">
        <v>75</v>
      </c>
      <c r="D18" s="6" t="s">
        <v>248</v>
      </c>
      <c r="E18" s="6" t="s">
        <v>255</v>
      </c>
      <c r="F18" s="6" t="s">
        <v>256</v>
      </c>
      <c r="G18" s="6" t="s">
        <v>251</v>
      </c>
      <c r="H18" s="6" t="s">
        <v>252</v>
      </c>
    </row>
    <row r="19" spans="2:8" x14ac:dyDescent="0.3">
      <c r="B19" s="4" t="s">
        <v>228</v>
      </c>
      <c r="C19" s="4" t="s">
        <v>229</v>
      </c>
      <c r="D19" s="4">
        <v>2500</v>
      </c>
      <c r="E19" s="4">
        <v>0</v>
      </c>
      <c r="F19" s="4">
        <v>3200</v>
      </c>
      <c r="G19" s="4">
        <v>1E+30</v>
      </c>
      <c r="H19" s="4">
        <v>700</v>
      </c>
    </row>
    <row r="20" spans="2:8" x14ac:dyDescent="0.3">
      <c r="B20" s="4" t="s">
        <v>231</v>
      </c>
      <c r="C20" s="4" t="s">
        <v>232</v>
      </c>
      <c r="D20" s="4">
        <v>1000</v>
      </c>
      <c r="E20" s="4">
        <v>-400</v>
      </c>
      <c r="F20" s="4">
        <v>1000</v>
      </c>
      <c r="G20" s="4">
        <v>500</v>
      </c>
      <c r="H20" s="4">
        <v>700</v>
      </c>
    </row>
    <row r="21" spans="2:8" x14ac:dyDescent="0.3">
      <c r="B21" s="4" t="s">
        <v>234</v>
      </c>
      <c r="C21" s="4" t="s">
        <v>235</v>
      </c>
      <c r="D21" s="4">
        <v>2000</v>
      </c>
      <c r="E21" s="4">
        <v>200</v>
      </c>
      <c r="F21" s="4">
        <v>2000</v>
      </c>
      <c r="G21" s="4">
        <v>700</v>
      </c>
      <c r="H21" s="4">
        <v>2000</v>
      </c>
    </row>
    <row r="22" spans="2:8" x14ac:dyDescent="0.3">
      <c r="B22" s="4" t="s">
        <v>237</v>
      </c>
      <c r="C22" s="4" t="s">
        <v>238</v>
      </c>
      <c r="D22" s="4">
        <v>1500</v>
      </c>
      <c r="E22" s="4">
        <v>800</v>
      </c>
      <c r="F22" s="4">
        <v>1500</v>
      </c>
      <c r="G22" s="4">
        <v>700</v>
      </c>
      <c r="H22" s="4">
        <v>500</v>
      </c>
    </row>
    <row r="23" spans="2:8" ht="15" customHeight="1" thickBot="1" x14ac:dyDescent="0.35">
      <c r="B23" s="2" t="s">
        <v>240</v>
      </c>
      <c r="C23" s="2" t="s">
        <v>241</v>
      </c>
      <c r="D23" s="2">
        <v>0</v>
      </c>
      <c r="E23" s="2">
        <v>500</v>
      </c>
      <c r="F23" s="2">
        <v>0</v>
      </c>
      <c r="G23" s="2">
        <v>700</v>
      </c>
      <c r="H23" s="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G10"/>
  <sheetViews>
    <sheetView showGridLines="0" topLeftCell="A3" workbookViewId="0">
      <selection activeCell="H29" sqref="H29"/>
    </sheetView>
  </sheetViews>
  <sheetFormatPr defaultRowHeight="14.4" x14ac:dyDescent="0.3"/>
  <cols>
    <col min="1" max="1" width="2.33203125" customWidth="1"/>
    <col min="2" max="2" width="6.21875" bestFit="1" customWidth="1"/>
    <col min="3" max="3" width="20.21875" bestFit="1" customWidth="1"/>
    <col min="4" max="4" width="9.21875" bestFit="1" customWidth="1"/>
    <col min="5" max="5" width="11.21875" bestFit="1" customWidth="1"/>
    <col min="6" max="6" width="6.88671875" bestFit="1" customWidth="1"/>
    <col min="7" max="7" width="5.33203125" bestFit="1" customWidth="1"/>
  </cols>
  <sheetData>
    <row r="1" spans="1:7" x14ac:dyDescent="0.3">
      <c r="A1" s="1" t="s">
        <v>285</v>
      </c>
    </row>
    <row r="2" spans="1:7" x14ac:dyDescent="0.3">
      <c r="A2" s="1" t="s">
        <v>286</v>
      </c>
    </row>
    <row r="3" spans="1:7" x14ac:dyDescent="0.3">
      <c r="A3" s="1" t="s">
        <v>287</v>
      </c>
    </row>
    <row r="6" spans="1:7" ht="15" customHeight="1" thickBot="1" x14ac:dyDescent="0.35">
      <c r="A6" t="s">
        <v>288</v>
      </c>
    </row>
    <row r="7" spans="1:7" ht="15" customHeight="1" thickBot="1" x14ac:dyDescent="0.35">
      <c r="B7" s="3" t="s">
        <v>44</v>
      </c>
      <c r="C7" s="3" t="s">
        <v>75</v>
      </c>
      <c r="D7" s="3" t="s">
        <v>89</v>
      </c>
      <c r="E7" s="3" t="s">
        <v>90</v>
      </c>
      <c r="F7" s="3" t="s">
        <v>91</v>
      </c>
      <c r="G7" s="3" t="s">
        <v>92</v>
      </c>
    </row>
    <row r="8" spans="1:7" x14ac:dyDescent="0.3">
      <c r="B8" t="s">
        <v>240</v>
      </c>
      <c r="C8" t="s">
        <v>241</v>
      </c>
      <c r="D8">
        <v>0</v>
      </c>
      <c r="E8" t="s">
        <v>284</v>
      </c>
      <c r="F8" t="s">
        <v>96</v>
      </c>
      <c r="G8">
        <v>0</v>
      </c>
    </row>
    <row r="9" spans="1:7" x14ac:dyDescent="0.3">
      <c r="B9" t="s">
        <v>234</v>
      </c>
      <c r="C9" t="s">
        <v>235</v>
      </c>
      <c r="D9">
        <v>2000</v>
      </c>
      <c r="E9" t="s">
        <v>282</v>
      </c>
      <c r="F9" t="s">
        <v>96</v>
      </c>
      <c r="G9">
        <v>0</v>
      </c>
    </row>
    <row r="10" spans="1:7" x14ac:dyDescent="0.3">
      <c r="B10" t="s">
        <v>237</v>
      </c>
      <c r="C10" t="s">
        <v>238</v>
      </c>
      <c r="D10">
        <v>1500</v>
      </c>
      <c r="E10" t="s">
        <v>283</v>
      </c>
      <c r="F10" t="s">
        <v>96</v>
      </c>
      <c r="G10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8" tint="0.39997558519241921"/>
  </sheetPr>
  <dimension ref="A1:E32"/>
  <sheetViews>
    <sheetView zoomScale="85" workbookViewId="0">
      <selection activeCell="G17" sqref="G17"/>
    </sheetView>
  </sheetViews>
  <sheetFormatPr defaultRowHeight="15" x14ac:dyDescent="0.3"/>
  <cols>
    <col min="1" max="1" width="17.5546875" style="8" bestFit="1" customWidth="1"/>
    <col min="2" max="2" width="14.6640625" style="8" bestFit="1" customWidth="1"/>
    <col min="3" max="3" width="75" style="8" customWidth="1"/>
    <col min="4" max="4" width="12.109375" style="8" bestFit="1" customWidth="1"/>
    <col min="5" max="5" width="10.44140625" style="8" customWidth="1"/>
    <col min="6" max="8" width="8.88671875" style="8" customWidth="1"/>
    <col min="9" max="16384" width="8.88671875" style="8"/>
  </cols>
  <sheetData>
    <row r="1" spans="1:5" ht="14.4" customHeight="1" x14ac:dyDescent="0.3">
      <c r="A1" s="7"/>
      <c r="B1" s="7" t="s">
        <v>257</v>
      </c>
      <c r="C1" s="7" t="s">
        <v>258</v>
      </c>
      <c r="D1" s="7"/>
      <c r="E1" s="7" t="s">
        <v>259</v>
      </c>
    </row>
    <row r="2" spans="1:5" ht="14.4" customHeight="1" x14ac:dyDescent="0.3">
      <c r="A2" s="12" t="s">
        <v>260</v>
      </c>
      <c r="B2" s="12">
        <v>200</v>
      </c>
      <c r="C2" s="12">
        <v>500</v>
      </c>
      <c r="D2" s="12"/>
      <c r="E2" s="12">
        <v>2000</v>
      </c>
    </row>
    <row r="3" spans="1:5" ht="14.4" customHeight="1" x14ac:dyDescent="0.3">
      <c r="A3" s="17" t="s">
        <v>261</v>
      </c>
      <c r="B3" s="17">
        <v>800</v>
      </c>
      <c r="C3" s="17">
        <v>400</v>
      </c>
      <c r="D3" s="17"/>
      <c r="E3" s="17">
        <v>1500</v>
      </c>
    </row>
    <row r="4" spans="1:5" ht="14.4" customHeight="1" x14ac:dyDescent="0.3">
      <c r="A4" s="12" t="s">
        <v>262</v>
      </c>
      <c r="B4" s="12">
        <v>500</v>
      </c>
      <c r="C4" s="12">
        <v>1000</v>
      </c>
      <c r="D4" s="12"/>
      <c r="E4" s="46">
        <v>0</v>
      </c>
    </row>
    <row r="5" spans="1:5" ht="14.4" customHeight="1" x14ac:dyDescent="0.3">
      <c r="A5" s="17" t="s">
        <v>263</v>
      </c>
      <c r="B5" s="17">
        <v>3200</v>
      </c>
      <c r="C5" s="17">
        <v>1000</v>
      </c>
      <c r="D5" s="17"/>
      <c r="E5" s="17"/>
    </row>
    <row r="7" spans="1:5" ht="28.8" customHeight="1" x14ac:dyDescent="0.3">
      <c r="A7" s="7" t="s">
        <v>264</v>
      </c>
      <c r="B7" s="7" t="s">
        <v>257</v>
      </c>
      <c r="C7" s="7" t="s">
        <v>258</v>
      </c>
      <c r="D7" s="7" t="s">
        <v>265</v>
      </c>
    </row>
    <row r="8" spans="1:5" x14ac:dyDescent="0.3">
      <c r="A8" s="12" t="s">
        <v>260</v>
      </c>
      <c r="B8" s="74">
        <v>1700</v>
      </c>
      <c r="C8" s="74">
        <v>300</v>
      </c>
      <c r="D8" s="12">
        <f>SUM(B8:C8)</f>
        <v>2000</v>
      </c>
    </row>
    <row r="9" spans="1:5" x14ac:dyDescent="0.3">
      <c r="A9" s="17" t="s">
        <v>261</v>
      </c>
      <c r="B9" s="74">
        <v>1500</v>
      </c>
      <c r="C9" s="74">
        <v>0</v>
      </c>
      <c r="D9" s="17">
        <f>SUM(B9:C9)</f>
        <v>1500</v>
      </c>
    </row>
    <row r="10" spans="1:5" x14ac:dyDescent="0.3">
      <c r="A10" s="12" t="s">
        <v>262</v>
      </c>
      <c r="B10" s="74">
        <v>0</v>
      </c>
      <c r="C10" s="74">
        <v>0</v>
      </c>
      <c r="D10" s="12">
        <f>SUM(B10:C10)</f>
        <v>0</v>
      </c>
    </row>
    <row r="11" spans="1:5" ht="14.4" customHeight="1" x14ac:dyDescent="0.3">
      <c r="A11" s="17" t="s">
        <v>266</v>
      </c>
      <c r="B11" s="71">
        <f>SUM(B8:B10)</f>
        <v>3200</v>
      </c>
      <c r="C11" s="46">
        <f>SUM(C8:C10)</f>
        <v>300</v>
      </c>
      <c r="D11" s="17"/>
    </row>
    <row r="13" spans="1:5" x14ac:dyDescent="0.3">
      <c r="A13" s="75" t="s">
        <v>267</v>
      </c>
      <c r="B13" s="76">
        <f>SUMPRODUCT(B2:C4,B8:C10)</f>
        <v>1690000</v>
      </c>
    </row>
    <row r="16" spans="1:5" ht="15.6" customHeight="1" x14ac:dyDescent="0.3">
      <c r="A16" s="102" t="s">
        <v>289</v>
      </c>
      <c r="B16" s="110"/>
      <c r="C16" s="111"/>
    </row>
    <row r="17" spans="1:3" x14ac:dyDescent="0.3">
      <c r="A17" s="48" t="s">
        <v>43</v>
      </c>
      <c r="B17" s="48" t="s">
        <v>44</v>
      </c>
      <c r="C17" s="49" t="s">
        <v>45</v>
      </c>
    </row>
    <row r="18" spans="1:3" x14ac:dyDescent="0.3">
      <c r="A18" s="50">
        <v>1</v>
      </c>
      <c r="B18" s="51" t="s">
        <v>290</v>
      </c>
      <c r="C18" s="52" t="s">
        <v>410</v>
      </c>
    </row>
    <row r="19" spans="1:3" x14ac:dyDescent="0.3">
      <c r="A19" s="53">
        <v>2</v>
      </c>
      <c r="B19" s="54" t="s">
        <v>272</v>
      </c>
      <c r="C19" s="55" t="s">
        <v>291</v>
      </c>
    </row>
    <row r="20" spans="1:3" x14ac:dyDescent="0.3">
      <c r="A20" s="50">
        <v>3</v>
      </c>
      <c r="B20" s="51" t="s">
        <v>273</v>
      </c>
      <c r="C20" s="52" t="s">
        <v>292</v>
      </c>
    </row>
    <row r="21" spans="1:3" ht="28.8" x14ac:dyDescent="0.3">
      <c r="A21" s="91">
        <v>4</v>
      </c>
      <c r="B21" s="90" t="s">
        <v>293</v>
      </c>
      <c r="C21" s="92" t="s">
        <v>294</v>
      </c>
    </row>
    <row r="22" spans="1:3" ht="28.8" x14ac:dyDescent="0.3">
      <c r="A22" s="82">
        <v>5</v>
      </c>
      <c r="B22" s="81" t="s">
        <v>276</v>
      </c>
      <c r="C22" s="83" t="s">
        <v>411</v>
      </c>
    </row>
    <row r="24" spans="1:3" ht="16.8" x14ac:dyDescent="0.3">
      <c r="A24" s="108"/>
      <c r="B24" s="109"/>
      <c r="C24" s="109"/>
    </row>
    <row r="25" spans="1:3" x14ac:dyDescent="0.3">
      <c r="A25" s="95"/>
      <c r="B25" s="95"/>
      <c r="C25" s="96"/>
    </row>
    <row r="26" spans="1:3" x14ac:dyDescent="0.3">
      <c r="A26" s="98"/>
      <c r="B26" s="97"/>
      <c r="C26" s="99"/>
    </row>
    <row r="27" spans="1:3" x14ac:dyDescent="0.3">
      <c r="A27" s="98"/>
      <c r="B27" s="97"/>
      <c r="C27" s="99"/>
    </row>
    <row r="28" spans="1:3" x14ac:dyDescent="0.3">
      <c r="A28" s="89"/>
      <c r="B28" s="89"/>
      <c r="C28" s="89"/>
    </row>
    <row r="29" spans="1:3" x14ac:dyDescent="0.3">
      <c r="A29" s="89"/>
      <c r="B29" s="89"/>
      <c r="C29" s="89"/>
    </row>
    <row r="30" spans="1:3" x14ac:dyDescent="0.3">
      <c r="A30" s="98"/>
      <c r="B30" s="97"/>
      <c r="C30" s="99"/>
    </row>
    <row r="31" spans="1:3" x14ac:dyDescent="0.3">
      <c r="A31" s="98"/>
      <c r="B31" s="97"/>
      <c r="C31" s="99"/>
    </row>
    <row r="32" spans="1:3" x14ac:dyDescent="0.3">
      <c r="A32" s="98"/>
      <c r="B32" s="97"/>
      <c r="C32" s="99"/>
    </row>
  </sheetData>
  <mergeCells count="2">
    <mergeCell ref="A24:C24"/>
    <mergeCell ref="A16:C1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 tint="0.39997558519241921"/>
  </sheetPr>
  <dimension ref="A1:G35"/>
  <sheetViews>
    <sheetView showGridLines="0" topLeftCell="A12" workbookViewId="0"/>
  </sheetViews>
  <sheetFormatPr defaultRowHeight="14.4" x14ac:dyDescent="0.3"/>
  <cols>
    <col min="1" max="1" width="2.33203125" customWidth="1"/>
    <col min="2" max="2" width="6.21875" bestFit="1" customWidth="1"/>
    <col min="3" max="3" width="20.21875" bestFit="1" customWidth="1"/>
    <col min="4" max="4" width="12.6640625" bestFit="1" customWidth="1"/>
    <col min="5" max="5" width="12.21875" bestFit="1" customWidth="1"/>
    <col min="6" max="6" width="10.44140625" bestFit="1" customWidth="1"/>
    <col min="7" max="7" width="5.33203125" bestFit="1" customWidth="1"/>
  </cols>
  <sheetData>
    <row r="1" spans="1:5" x14ac:dyDescent="0.3">
      <c r="A1" s="1" t="s">
        <v>63</v>
      </c>
    </row>
    <row r="2" spans="1:5" x14ac:dyDescent="0.3">
      <c r="A2" s="1" t="s">
        <v>295</v>
      </c>
    </row>
    <row r="3" spans="1:5" x14ac:dyDescent="0.3">
      <c r="A3" s="1" t="s">
        <v>296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210</v>
      </c>
    </row>
    <row r="8" spans="1:5" x14ac:dyDescent="0.3">
      <c r="A8" s="1"/>
      <c r="B8" t="s">
        <v>211</v>
      </c>
    </row>
    <row r="9" spans="1:5" x14ac:dyDescent="0.3">
      <c r="A9" s="1" t="s">
        <v>71</v>
      </c>
    </row>
    <row r="10" spans="1:5" x14ac:dyDescent="0.3">
      <c r="B10" t="s">
        <v>212</v>
      </c>
    </row>
    <row r="11" spans="1:5" x14ac:dyDescent="0.3">
      <c r="B11" t="s">
        <v>73</v>
      </c>
    </row>
    <row r="14" spans="1:5" ht="15" customHeight="1" thickBot="1" x14ac:dyDescent="0.35">
      <c r="A14" t="s">
        <v>213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214</v>
      </c>
      <c r="C16" s="2" t="s">
        <v>215</v>
      </c>
      <c r="D16" s="2">
        <v>0</v>
      </c>
      <c r="E16" s="2">
        <v>1674000</v>
      </c>
    </row>
    <row r="19" spans="1:7" ht="15" customHeight="1" thickBot="1" x14ac:dyDescent="0.35">
      <c r="A19" t="s">
        <v>80</v>
      </c>
    </row>
    <row r="20" spans="1:7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7" x14ac:dyDescent="0.3">
      <c r="B21" s="4" t="s">
        <v>216</v>
      </c>
      <c r="C21" s="4" t="s">
        <v>217</v>
      </c>
      <c r="D21" s="4">
        <v>0</v>
      </c>
      <c r="E21" s="4">
        <v>2000</v>
      </c>
      <c r="F21" s="4" t="s">
        <v>84</v>
      </c>
    </row>
    <row r="22" spans="1:7" x14ac:dyDescent="0.3">
      <c r="B22" s="4" t="s">
        <v>218</v>
      </c>
      <c r="C22" s="4" t="s">
        <v>219</v>
      </c>
      <c r="D22" s="4">
        <v>0</v>
      </c>
      <c r="E22" s="4">
        <v>0</v>
      </c>
      <c r="F22" s="4" t="s">
        <v>84</v>
      </c>
    </row>
    <row r="23" spans="1:7" x14ac:dyDescent="0.3">
      <c r="B23" s="4" t="s">
        <v>220</v>
      </c>
      <c r="C23" s="4" t="s">
        <v>221</v>
      </c>
      <c r="D23" s="4">
        <v>0</v>
      </c>
      <c r="E23" s="4">
        <v>0</v>
      </c>
      <c r="F23" s="4" t="s">
        <v>84</v>
      </c>
    </row>
    <row r="24" spans="1:7" x14ac:dyDescent="0.3">
      <c r="B24" s="4" t="s">
        <v>222</v>
      </c>
      <c r="C24" s="4" t="s">
        <v>223</v>
      </c>
      <c r="D24" s="4">
        <v>0</v>
      </c>
      <c r="E24" s="4">
        <v>1000</v>
      </c>
      <c r="F24" s="4" t="s">
        <v>84</v>
      </c>
    </row>
    <row r="25" spans="1:7" x14ac:dyDescent="0.3">
      <c r="B25" s="4" t="s">
        <v>224</v>
      </c>
      <c r="C25" s="4" t="s">
        <v>225</v>
      </c>
      <c r="D25" s="4">
        <v>0</v>
      </c>
      <c r="E25" s="4">
        <v>1200</v>
      </c>
      <c r="F25" s="4" t="s">
        <v>84</v>
      </c>
    </row>
    <row r="26" spans="1:7" ht="15" customHeight="1" thickBot="1" x14ac:dyDescent="0.35">
      <c r="B26" s="2" t="s">
        <v>226</v>
      </c>
      <c r="C26" s="2" t="s">
        <v>227</v>
      </c>
      <c r="D26" s="2">
        <v>0</v>
      </c>
      <c r="E26" s="2">
        <v>0</v>
      </c>
      <c r="F26" s="2" t="s">
        <v>84</v>
      </c>
    </row>
    <row r="29" spans="1:7" ht="15" customHeight="1" thickBot="1" x14ac:dyDescent="0.35">
      <c r="A29" t="s">
        <v>88</v>
      </c>
    </row>
    <row r="30" spans="1:7" ht="15" customHeight="1" thickBot="1" x14ac:dyDescent="0.35">
      <c r="B30" s="3" t="s">
        <v>44</v>
      </c>
      <c r="C30" s="3" t="s">
        <v>75</v>
      </c>
      <c r="D30" s="3" t="s">
        <v>89</v>
      </c>
      <c r="E30" s="3" t="s">
        <v>90</v>
      </c>
      <c r="F30" s="3" t="s">
        <v>91</v>
      </c>
      <c r="G30" s="3" t="s">
        <v>92</v>
      </c>
    </row>
    <row r="31" spans="1:7" x14ac:dyDescent="0.3">
      <c r="B31" s="4" t="s">
        <v>228</v>
      </c>
      <c r="C31" s="4" t="s">
        <v>229</v>
      </c>
      <c r="D31" s="4">
        <v>3200</v>
      </c>
      <c r="E31" s="4" t="s">
        <v>230</v>
      </c>
      <c r="F31" s="4" t="s">
        <v>96</v>
      </c>
      <c r="G31" s="4">
        <v>0</v>
      </c>
    </row>
    <row r="32" spans="1:7" x14ac:dyDescent="0.3">
      <c r="B32" s="4" t="s">
        <v>231</v>
      </c>
      <c r="C32" s="4" t="s">
        <v>232</v>
      </c>
      <c r="D32" s="4">
        <v>1000</v>
      </c>
      <c r="E32" s="4" t="s">
        <v>233</v>
      </c>
      <c r="F32" s="4" t="s">
        <v>96</v>
      </c>
      <c r="G32" s="4">
        <v>0</v>
      </c>
    </row>
    <row r="33" spans="2:7" x14ac:dyDescent="0.3">
      <c r="B33" s="4" t="s">
        <v>234</v>
      </c>
      <c r="C33" s="4" t="s">
        <v>235</v>
      </c>
      <c r="D33" s="4">
        <v>2000</v>
      </c>
      <c r="E33" s="4" t="s">
        <v>297</v>
      </c>
      <c r="F33" s="4" t="s">
        <v>96</v>
      </c>
      <c r="G33" s="4">
        <v>0</v>
      </c>
    </row>
    <row r="34" spans="2:7" x14ac:dyDescent="0.3">
      <c r="B34" s="4" t="s">
        <v>237</v>
      </c>
      <c r="C34" s="4" t="s">
        <v>238</v>
      </c>
      <c r="D34" s="4">
        <v>1000</v>
      </c>
      <c r="E34" s="4" t="s">
        <v>298</v>
      </c>
      <c r="F34" s="4" t="s">
        <v>103</v>
      </c>
      <c r="G34" s="4">
        <v>500</v>
      </c>
    </row>
    <row r="35" spans="2:7" ht="15" customHeight="1" thickBot="1" x14ac:dyDescent="0.35">
      <c r="B35" s="2" t="s">
        <v>240</v>
      </c>
      <c r="C35" s="2" t="s">
        <v>241</v>
      </c>
      <c r="D35" s="2">
        <v>1200</v>
      </c>
      <c r="E35" s="2" t="s">
        <v>299</v>
      </c>
      <c r="F35" s="2" t="s">
        <v>103</v>
      </c>
      <c r="G35" s="2">
        <v>1300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 tint="0.39997558519241921"/>
  </sheetPr>
  <dimension ref="A1:H2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20.21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" t="s">
        <v>243</v>
      </c>
    </row>
    <row r="2" spans="1:8" x14ac:dyDescent="0.3">
      <c r="A2" s="1" t="s">
        <v>295</v>
      </c>
    </row>
    <row r="3" spans="1:8" x14ac:dyDescent="0.3">
      <c r="A3" s="1" t="s">
        <v>296</v>
      </c>
    </row>
    <row r="6" spans="1:8" ht="15" customHeight="1" thickBot="1" x14ac:dyDescent="0.35">
      <c r="A6" t="s">
        <v>80</v>
      </c>
    </row>
    <row r="7" spans="1:8" x14ac:dyDescent="0.3">
      <c r="B7" s="5"/>
      <c r="C7" s="5"/>
      <c r="D7" s="5" t="s">
        <v>244</v>
      </c>
      <c r="E7" s="5" t="s">
        <v>245</v>
      </c>
      <c r="F7" s="5" t="s">
        <v>246</v>
      </c>
      <c r="G7" s="5" t="s">
        <v>247</v>
      </c>
      <c r="H7" s="5" t="s">
        <v>247</v>
      </c>
    </row>
    <row r="8" spans="1:8" ht="15" customHeight="1" thickBot="1" x14ac:dyDescent="0.35">
      <c r="B8" s="6" t="s">
        <v>44</v>
      </c>
      <c r="C8" s="6" t="s">
        <v>75</v>
      </c>
      <c r="D8" s="6" t="s">
        <v>248</v>
      </c>
      <c r="E8" s="6" t="s">
        <v>249</v>
      </c>
      <c r="F8" s="6" t="s">
        <v>250</v>
      </c>
      <c r="G8" s="6" t="s">
        <v>251</v>
      </c>
      <c r="H8" s="6" t="s">
        <v>252</v>
      </c>
    </row>
    <row r="9" spans="1:8" x14ac:dyDescent="0.3">
      <c r="B9" s="4" t="s">
        <v>216</v>
      </c>
      <c r="C9" s="4" t="s">
        <v>217</v>
      </c>
      <c r="D9" s="4">
        <v>2000</v>
      </c>
      <c r="E9" s="4">
        <v>0</v>
      </c>
      <c r="F9" s="4">
        <v>250</v>
      </c>
      <c r="G9" s="4">
        <v>295</v>
      </c>
      <c r="H9" s="4">
        <v>1E+30</v>
      </c>
    </row>
    <row r="10" spans="1:8" x14ac:dyDescent="0.3">
      <c r="B10" s="4" t="s">
        <v>218</v>
      </c>
      <c r="C10" s="4" t="s">
        <v>219</v>
      </c>
      <c r="D10" s="4">
        <v>0</v>
      </c>
      <c r="E10" s="4">
        <v>375</v>
      </c>
      <c r="F10" s="4">
        <v>600</v>
      </c>
      <c r="G10" s="4">
        <v>1E+30</v>
      </c>
      <c r="H10" s="4">
        <v>375</v>
      </c>
    </row>
    <row r="11" spans="1:8" x14ac:dyDescent="0.3">
      <c r="B11" s="4" t="s">
        <v>220</v>
      </c>
      <c r="C11" s="4" t="s">
        <v>221</v>
      </c>
      <c r="D11" s="4">
        <v>0</v>
      </c>
      <c r="E11" s="4">
        <v>325</v>
      </c>
      <c r="F11" s="4">
        <v>870</v>
      </c>
      <c r="G11" s="4">
        <v>1E+30</v>
      </c>
      <c r="H11" s="4">
        <v>325</v>
      </c>
    </row>
    <row r="12" spans="1:8" x14ac:dyDescent="0.3">
      <c r="B12" s="4" t="s">
        <v>222</v>
      </c>
      <c r="C12" s="4" t="s">
        <v>223</v>
      </c>
      <c r="D12" s="4">
        <v>1000</v>
      </c>
      <c r="E12" s="4">
        <v>0</v>
      </c>
      <c r="F12" s="4">
        <v>520</v>
      </c>
      <c r="G12" s="4">
        <v>375</v>
      </c>
      <c r="H12" s="4">
        <v>1E+30</v>
      </c>
    </row>
    <row r="13" spans="1:8" x14ac:dyDescent="0.3">
      <c r="B13" s="4" t="s">
        <v>224</v>
      </c>
      <c r="C13" s="4" t="s">
        <v>225</v>
      </c>
      <c r="D13" s="4">
        <v>1200</v>
      </c>
      <c r="E13" s="4">
        <v>0</v>
      </c>
      <c r="F13" s="4">
        <v>545</v>
      </c>
      <c r="G13" s="4">
        <v>325</v>
      </c>
      <c r="H13" s="4">
        <v>295</v>
      </c>
    </row>
    <row r="14" spans="1:8" ht="15" customHeight="1" thickBot="1" x14ac:dyDescent="0.35">
      <c r="B14" s="2" t="s">
        <v>226</v>
      </c>
      <c r="C14" s="2" t="s">
        <v>227</v>
      </c>
      <c r="D14" s="2">
        <v>0</v>
      </c>
      <c r="E14" s="2">
        <v>610</v>
      </c>
      <c r="F14" s="2">
        <v>1130</v>
      </c>
      <c r="G14" s="2">
        <v>1E+30</v>
      </c>
      <c r="H14" s="2">
        <v>610</v>
      </c>
    </row>
    <row r="16" spans="1:8" ht="15" customHeight="1" thickBot="1" x14ac:dyDescent="0.35">
      <c r="A16" t="s">
        <v>88</v>
      </c>
    </row>
    <row r="17" spans="2:8" x14ac:dyDescent="0.3">
      <c r="B17" s="5"/>
      <c r="C17" s="5"/>
      <c r="D17" s="5" t="s">
        <v>244</v>
      </c>
      <c r="E17" s="5" t="s">
        <v>253</v>
      </c>
      <c r="F17" s="5" t="s">
        <v>254</v>
      </c>
      <c r="G17" s="5" t="s">
        <v>247</v>
      </c>
      <c r="H17" s="5" t="s">
        <v>247</v>
      </c>
    </row>
    <row r="18" spans="2:8" ht="15" customHeight="1" thickBot="1" x14ac:dyDescent="0.35">
      <c r="B18" s="6" t="s">
        <v>44</v>
      </c>
      <c r="C18" s="6" t="s">
        <v>75</v>
      </c>
      <c r="D18" s="6" t="s">
        <v>248</v>
      </c>
      <c r="E18" s="6" t="s">
        <v>255</v>
      </c>
      <c r="F18" s="6" t="s">
        <v>256</v>
      </c>
      <c r="G18" s="6" t="s">
        <v>251</v>
      </c>
      <c r="H18" s="6" t="s">
        <v>252</v>
      </c>
    </row>
    <row r="19" spans="2:8" x14ac:dyDescent="0.3">
      <c r="B19" s="4" t="s">
        <v>228</v>
      </c>
      <c r="C19" s="4" t="s">
        <v>229</v>
      </c>
      <c r="D19" s="4">
        <v>3200</v>
      </c>
      <c r="E19" s="4">
        <v>545</v>
      </c>
      <c r="F19" s="4">
        <v>3200</v>
      </c>
      <c r="G19" s="4">
        <v>1300</v>
      </c>
      <c r="H19" s="4">
        <v>1200</v>
      </c>
    </row>
    <row r="20" spans="2:8" x14ac:dyDescent="0.3">
      <c r="B20" s="4" t="s">
        <v>231</v>
      </c>
      <c r="C20" s="4" t="s">
        <v>232</v>
      </c>
      <c r="D20" s="4">
        <v>1000</v>
      </c>
      <c r="E20" s="4">
        <v>520</v>
      </c>
      <c r="F20" s="4">
        <v>1000</v>
      </c>
      <c r="G20" s="4">
        <v>500</v>
      </c>
      <c r="H20" s="4">
        <v>1000</v>
      </c>
    </row>
    <row r="21" spans="2:8" x14ac:dyDescent="0.3">
      <c r="B21" s="4" t="s">
        <v>234</v>
      </c>
      <c r="C21" s="4" t="s">
        <v>235</v>
      </c>
      <c r="D21" s="4">
        <v>2000</v>
      </c>
      <c r="E21" s="4">
        <v>-295</v>
      </c>
      <c r="F21" s="4">
        <v>2000</v>
      </c>
      <c r="G21" s="4">
        <v>1200</v>
      </c>
      <c r="H21" s="4">
        <v>1300</v>
      </c>
    </row>
    <row r="22" spans="2:8" x14ac:dyDescent="0.3">
      <c r="B22" s="4" t="s">
        <v>237</v>
      </c>
      <c r="C22" s="4" t="s">
        <v>238</v>
      </c>
      <c r="D22" s="4">
        <v>1000</v>
      </c>
      <c r="E22" s="4">
        <v>0</v>
      </c>
      <c r="F22" s="4">
        <v>1500</v>
      </c>
      <c r="G22" s="4">
        <v>1E+30</v>
      </c>
      <c r="H22" s="4">
        <v>500</v>
      </c>
    </row>
    <row r="23" spans="2:8" ht="15" customHeight="1" thickBot="1" x14ac:dyDescent="0.35">
      <c r="B23" s="2" t="s">
        <v>240</v>
      </c>
      <c r="C23" s="2" t="s">
        <v>241</v>
      </c>
      <c r="D23" s="2">
        <v>1200</v>
      </c>
      <c r="E23" s="2">
        <v>0</v>
      </c>
      <c r="F23" s="2">
        <v>2500</v>
      </c>
      <c r="G23" s="2">
        <v>1E+30</v>
      </c>
      <c r="H23" s="2">
        <v>1300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 tint="0.39997558519241921"/>
  </sheetPr>
  <dimension ref="A1:E28"/>
  <sheetViews>
    <sheetView topLeftCell="A8" workbookViewId="0">
      <selection activeCell="D25" sqref="D25"/>
    </sheetView>
  </sheetViews>
  <sheetFormatPr defaultRowHeight="15" x14ac:dyDescent="0.3"/>
  <cols>
    <col min="1" max="1" width="17.5546875" style="8" bestFit="1" customWidth="1"/>
    <col min="2" max="2" width="14" style="8" bestFit="1" customWidth="1"/>
    <col min="3" max="3" width="75" style="8" bestFit="1" customWidth="1"/>
    <col min="4" max="4" width="16.21875" style="8" bestFit="1" customWidth="1"/>
    <col min="5" max="5" width="11" style="8" customWidth="1"/>
    <col min="6" max="6" width="8.88671875" style="8" customWidth="1"/>
    <col min="7" max="16384" width="8.88671875" style="8"/>
  </cols>
  <sheetData>
    <row r="1" spans="1:5" x14ac:dyDescent="0.3">
      <c r="A1" s="7"/>
      <c r="B1" s="7" t="s">
        <v>257</v>
      </c>
      <c r="C1" s="7" t="s">
        <v>258</v>
      </c>
      <c r="D1" s="7"/>
      <c r="E1" s="7" t="s">
        <v>259</v>
      </c>
    </row>
    <row r="2" spans="1:5" x14ac:dyDescent="0.3">
      <c r="A2" s="12" t="s">
        <v>260</v>
      </c>
      <c r="B2" s="12">
        <v>250</v>
      </c>
      <c r="C2" s="12">
        <v>600</v>
      </c>
      <c r="D2" s="12"/>
      <c r="E2" s="12">
        <v>2000</v>
      </c>
    </row>
    <row r="3" spans="1:5" x14ac:dyDescent="0.3">
      <c r="A3" s="17" t="s">
        <v>261</v>
      </c>
      <c r="B3" s="17">
        <v>870</v>
      </c>
      <c r="C3" s="17">
        <v>520</v>
      </c>
      <c r="D3" s="17"/>
      <c r="E3" s="17">
        <v>1500</v>
      </c>
    </row>
    <row r="4" spans="1:5" x14ac:dyDescent="0.3">
      <c r="A4" s="12" t="s">
        <v>262</v>
      </c>
      <c r="B4" s="12">
        <v>545</v>
      </c>
      <c r="C4" s="12">
        <v>1130</v>
      </c>
      <c r="D4" s="12"/>
      <c r="E4" s="12">
        <v>2500</v>
      </c>
    </row>
    <row r="5" spans="1:5" x14ac:dyDescent="0.3">
      <c r="A5" s="17" t="s">
        <v>263</v>
      </c>
      <c r="B5" s="17">
        <v>3200</v>
      </c>
      <c r="C5" s="17">
        <v>1000</v>
      </c>
      <c r="D5" s="17"/>
      <c r="E5" s="17"/>
    </row>
    <row r="7" spans="1:5" x14ac:dyDescent="0.3">
      <c r="A7" s="7" t="s">
        <v>264</v>
      </c>
      <c r="B7" s="7" t="s">
        <v>257</v>
      </c>
      <c r="C7" s="7" t="s">
        <v>258</v>
      </c>
      <c r="D7" s="7" t="s">
        <v>265</v>
      </c>
    </row>
    <row r="8" spans="1:5" x14ac:dyDescent="0.3">
      <c r="A8" s="12" t="s">
        <v>260</v>
      </c>
      <c r="B8" s="74">
        <v>2000</v>
      </c>
      <c r="C8" s="74">
        <v>0</v>
      </c>
      <c r="D8" s="12">
        <f>SUM(B8:C8)</f>
        <v>2000</v>
      </c>
    </row>
    <row r="9" spans="1:5" x14ac:dyDescent="0.3">
      <c r="A9" s="17" t="s">
        <v>261</v>
      </c>
      <c r="B9" s="74">
        <v>0</v>
      </c>
      <c r="C9" s="74">
        <v>1000</v>
      </c>
      <c r="D9" s="17">
        <f>SUM(B9:C9)</f>
        <v>1000</v>
      </c>
    </row>
    <row r="10" spans="1:5" x14ac:dyDescent="0.3">
      <c r="A10" s="12" t="s">
        <v>262</v>
      </c>
      <c r="B10" s="74">
        <v>1200</v>
      </c>
      <c r="C10" s="74">
        <v>0</v>
      </c>
      <c r="D10" s="12">
        <f>SUM(B10:C10)</f>
        <v>1200</v>
      </c>
    </row>
    <row r="11" spans="1:5" x14ac:dyDescent="0.3">
      <c r="A11" s="17" t="s">
        <v>266</v>
      </c>
      <c r="B11" s="43">
        <f>SUM(B8:B10)</f>
        <v>3200</v>
      </c>
      <c r="C11" s="43">
        <f>SUM(C8:C10)</f>
        <v>1000</v>
      </c>
      <c r="D11" s="17"/>
    </row>
    <row r="13" spans="1:5" x14ac:dyDescent="0.3">
      <c r="A13" s="72" t="s">
        <v>267</v>
      </c>
      <c r="B13" s="73">
        <f>SUMPRODUCT(B2:C4,B8:C10)</f>
        <v>1674000</v>
      </c>
    </row>
    <row r="16" spans="1:5" ht="15.6" customHeight="1" x14ac:dyDescent="0.3">
      <c r="A16" s="102" t="s">
        <v>300</v>
      </c>
      <c r="B16" s="103"/>
      <c r="C16" s="104"/>
    </row>
    <row r="17" spans="1:3" x14ac:dyDescent="0.3">
      <c r="A17" s="48" t="s">
        <v>43</v>
      </c>
      <c r="B17" s="48" t="s">
        <v>44</v>
      </c>
      <c r="C17" s="49" t="s">
        <v>45</v>
      </c>
    </row>
    <row r="18" spans="1:3" ht="28.8" customHeight="1" x14ac:dyDescent="0.3">
      <c r="A18" s="50">
        <v>1</v>
      </c>
      <c r="B18" s="51" t="s">
        <v>301</v>
      </c>
      <c r="C18" s="52" t="s">
        <v>302</v>
      </c>
    </row>
    <row r="19" spans="1:3" x14ac:dyDescent="0.3">
      <c r="A19" s="53">
        <v>2</v>
      </c>
      <c r="B19" s="54" t="s">
        <v>303</v>
      </c>
      <c r="C19" s="55" t="s">
        <v>304</v>
      </c>
    </row>
    <row r="20" spans="1:3" ht="28.8" customHeight="1" x14ac:dyDescent="0.3">
      <c r="A20" s="50">
        <v>3</v>
      </c>
      <c r="B20" s="51" t="s">
        <v>276</v>
      </c>
      <c r="C20" s="52" t="s">
        <v>305</v>
      </c>
    </row>
    <row r="23" spans="1:3" ht="15.6" x14ac:dyDescent="0.3">
      <c r="A23" s="100"/>
      <c r="B23" s="101"/>
      <c r="C23" s="101"/>
    </row>
    <row r="24" spans="1:3" x14ac:dyDescent="0.3">
      <c r="A24" s="84"/>
      <c r="B24" s="84"/>
      <c r="C24" s="85"/>
    </row>
    <row r="25" spans="1:3" x14ac:dyDescent="0.3">
      <c r="A25" s="86"/>
      <c r="B25" s="87"/>
      <c r="C25" s="88"/>
    </row>
    <row r="26" spans="1:3" x14ac:dyDescent="0.3">
      <c r="A26" s="86"/>
      <c r="B26" s="87"/>
      <c r="C26" s="88"/>
    </row>
    <row r="27" spans="1:3" x14ac:dyDescent="0.3">
      <c r="A27" s="86"/>
      <c r="B27" s="87"/>
      <c r="C27" s="88"/>
    </row>
    <row r="28" spans="1:3" x14ac:dyDescent="0.3">
      <c r="A28" s="86"/>
      <c r="B28" s="87"/>
      <c r="C28" s="88"/>
    </row>
  </sheetData>
  <mergeCells count="2">
    <mergeCell ref="A23:C23"/>
    <mergeCell ref="A16:C1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5" tint="0.39997558519241921"/>
  </sheetPr>
  <dimension ref="A1:G69"/>
  <sheetViews>
    <sheetView showGridLines="0" topLeftCell="A12" workbookViewId="0"/>
  </sheetViews>
  <sheetFormatPr defaultRowHeight="14.4" x14ac:dyDescent="0.3"/>
  <cols>
    <col min="1" max="1" width="2.33203125" customWidth="1"/>
    <col min="2" max="2" width="17.33203125" bestFit="1" customWidth="1"/>
    <col min="3" max="3" width="11.1093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5.33203125" bestFit="1" customWidth="1"/>
  </cols>
  <sheetData>
    <row r="1" spans="1:5" x14ac:dyDescent="0.3">
      <c r="A1" s="1" t="s">
        <v>63</v>
      </c>
    </row>
    <row r="2" spans="1:5" x14ac:dyDescent="0.3">
      <c r="A2" s="1" t="s">
        <v>306</v>
      </c>
    </row>
    <row r="3" spans="1:5" x14ac:dyDescent="0.3">
      <c r="A3" s="1" t="s">
        <v>307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210</v>
      </c>
    </row>
    <row r="8" spans="1:5" x14ac:dyDescent="0.3">
      <c r="A8" s="1"/>
      <c r="B8" t="s">
        <v>198</v>
      </c>
    </row>
    <row r="9" spans="1:5" x14ac:dyDescent="0.3">
      <c r="A9" s="1" t="s">
        <v>71</v>
      </c>
    </row>
    <row r="10" spans="1:5" x14ac:dyDescent="0.3">
      <c r="B10" t="s">
        <v>212</v>
      </c>
    </row>
    <row r="11" spans="1:5" x14ac:dyDescent="0.3">
      <c r="B11" t="s">
        <v>73</v>
      </c>
    </row>
    <row r="14" spans="1:5" ht="15" customHeight="1" thickBot="1" x14ac:dyDescent="0.35">
      <c r="A14" t="s">
        <v>213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308</v>
      </c>
      <c r="C16" s="2" t="s">
        <v>267</v>
      </c>
      <c r="D16" s="2">
        <v>1150</v>
      </c>
      <c r="E16" s="2">
        <v>1150</v>
      </c>
    </row>
    <row r="19" spans="1:6" ht="15" customHeight="1" thickBot="1" x14ac:dyDescent="0.35">
      <c r="A19" t="s">
        <v>80</v>
      </c>
    </row>
    <row r="20" spans="1:6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6" x14ac:dyDescent="0.3">
      <c r="B21" s="4" t="s">
        <v>309</v>
      </c>
      <c r="C21" s="4" t="s">
        <v>310</v>
      </c>
      <c r="D21" s="4">
        <v>1</v>
      </c>
      <c r="E21" s="4">
        <v>1</v>
      </c>
      <c r="F21" s="4" t="s">
        <v>311</v>
      </c>
    </row>
    <row r="22" spans="1:6" x14ac:dyDescent="0.3">
      <c r="B22" s="4" t="s">
        <v>312</v>
      </c>
      <c r="C22" s="4" t="s">
        <v>310</v>
      </c>
      <c r="D22" s="4">
        <v>0</v>
      </c>
      <c r="E22" s="4">
        <v>0</v>
      </c>
      <c r="F22" s="4" t="s">
        <v>311</v>
      </c>
    </row>
    <row r="23" spans="1:6" x14ac:dyDescent="0.3">
      <c r="B23" s="4" t="s">
        <v>313</v>
      </c>
      <c r="C23" s="4" t="s">
        <v>310</v>
      </c>
      <c r="D23" s="4">
        <v>1</v>
      </c>
      <c r="E23" s="4">
        <v>1</v>
      </c>
      <c r="F23" s="4" t="s">
        <v>311</v>
      </c>
    </row>
    <row r="24" spans="1:6" x14ac:dyDescent="0.3">
      <c r="B24" s="4" t="s">
        <v>314</v>
      </c>
      <c r="C24" s="4" t="s">
        <v>310</v>
      </c>
      <c r="D24" s="4">
        <v>0</v>
      </c>
      <c r="E24" s="4">
        <v>0</v>
      </c>
      <c r="F24" s="4" t="s">
        <v>311</v>
      </c>
    </row>
    <row r="25" spans="1:6" x14ac:dyDescent="0.3">
      <c r="B25" s="4" t="s">
        <v>315</v>
      </c>
      <c r="C25" s="4" t="s">
        <v>310</v>
      </c>
      <c r="D25" s="4">
        <v>0</v>
      </c>
      <c r="E25" s="4">
        <v>0</v>
      </c>
      <c r="F25" s="4" t="s">
        <v>311</v>
      </c>
    </row>
    <row r="26" spans="1:6" x14ac:dyDescent="0.3">
      <c r="B26" s="4" t="s">
        <v>316</v>
      </c>
      <c r="C26" s="4" t="s">
        <v>310</v>
      </c>
      <c r="D26" s="4">
        <v>0</v>
      </c>
      <c r="E26" s="4">
        <v>0</v>
      </c>
      <c r="F26" s="4" t="s">
        <v>311</v>
      </c>
    </row>
    <row r="27" spans="1:6" x14ac:dyDescent="0.3">
      <c r="B27" s="4" t="s">
        <v>234</v>
      </c>
      <c r="C27" s="4" t="s">
        <v>310</v>
      </c>
      <c r="D27" s="4">
        <v>0</v>
      </c>
      <c r="E27" s="4">
        <v>0</v>
      </c>
      <c r="F27" s="4" t="s">
        <v>311</v>
      </c>
    </row>
    <row r="28" spans="1:6" x14ac:dyDescent="0.3">
      <c r="B28" s="4" t="s">
        <v>237</v>
      </c>
      <c r="C28" s="4" t="s">
        <v>310</v>
      </c>
      <c r="D28" s="4">
        <v>0</v>
      </c>
      <c r="E28" s="4">
        <v>0</v>
      </c>
      <c r="F28" s="4" t="s">
        <v>311</v>
      </c>
    </row>
    <row r="29" spans="1:6" x14ac:dyDescent="0.3">
      <c r="B29" s="4" t="s">
        <v>240</v>
      </c>
      <c r="C29" s="4" t="s">
        <v>310</v>
      </c>
      <c r="D29" s="4">
        <v>0</v>
      </c>
      <c r="E29" s="4">
        <v>0</v>
      </c>
      <c r="F29" s="4" t="s">
        <v>311</v>
      </c>
    </row>
    <row r="30" spans="1:6" x14ac:dyDescent="0.3">
      <c r="B30" s="4" t="s">
        <v>317</v>
      </c>
      <c r="C30" s="4" t="s">
        <v>310</v>
      </c>
      <c r="D30" s="4">
        <v>1</v>
      </c>
      <c r="E30" s="4">
        <v>1</v>
      </c>
      <c r="F30" s="4" t="s">
        <v>311</v>
      </c>
    </row>
    <row r="31" spans="1:6" x14ac:dyDescent="0.3">
      <c r="B31" s="4" t="s">
        <v>87</v>
      </c>
      <c r="C31" s="4" t="s">
        <v>310</v>
      </c>
      <c r="D31" s="4">
        <v>0</v>
      </c>
      <c r="E31" s="4">
        <v>0</v>
      </c>
      <c r="F31" s="4" t="s">
        <v>311</v>
      </c>
    </row>
    <row r="32" spans="1:6" x14ac:dyDescent="0.3">
      <c r="B32" s="4" t="s">
        <v>318</v>
      </c>
      <c r="C32" s="4" t="s">
        <v>310</v>
      </c>
      <c r="D32" s="4">
        <v>0</v>
      </c>
      <c r="E32" s="4">
        <v>0</v>
      </c>
      <c r="F32" s="4" t="s">
        <v>311</v>
      </c>
    </row>
    <row r="33" spans="1:7" x14ac:dyDescent="0.3">
      <c r="B33" s="4" t="s">
        <v>319</v>
      </c>
      <c r="C33" s="4" t="s">
        <v>310</v>
      </c>
      <c r="D33" s="4">
        <v>1</v>
      </c>
      <c r="E33" s="4">
        <v>1</v>
      </c>
      <c r="F33" s="4" t="s">
        <v>311</v>
      </c>
    </row>
    <row r="34" spans="1:7" x14ac:dyDescent="0.3">
      <c r="B34" s="4" t="s">
        <v>320</v>
      </c>
      <c r="C34" s="4" t="s">
        <v>310</v>
      </c>
      <c r="D34" s="4">
        <v>0</v>
      </c>
      <c r="E34" s="4">
        <v>0</v>
      </c>
      <c r="F34" s="4" t="s">
        <v>311</v>
      </c>
    </row>
    <row r="35" spans="1:7" x14ac:dyDescent="0.3">
      <c r="B35" s="4" t="s">
        <v>321</v>
      </c>
      <c r="C35" s="4" t="s">
        <v>310</v>
      </c>
      <c r="D35" s="4">
        <v>0</v>
      </c>
      <c r="E35" s="4">
        <v>0</v>
      </c>
      <c r="F35" s="4" t="s">
        <v>311</v>
      </c>
    </row>
    <row r="36" spans="1:7" ht="15" customHeight="1" thickBot="1" x14ac:dyDescent="0.35">
      <c r="B36" s="2" t="s">
        <v>322</v>
      </c>
      <c r="C36" s="2" t="s">
        <v>310</v>
      </c>
      <c r="D36" s="2">
        <v>0</v>
      </c>
      <c r="E36" s="2">
        <v>0</v>
      </c>
      <c r="F36" s="2" t="s">
        <v>311</v>
      </c>
    </row>
    <row r="39" spans="1:7" ht="15" customHeight="1" thickBot="1" x14ac:dyDescent="0.35">
      <c r="A39" t="s">
        <v>88</v>
      </c>
    </row>
    <row r="40" spans="1:7" ht="15" customHeight="1" thickBot="1" x14ac:dyDescent="0.35">
      <c r="B40" s="3" t="s">
        <v>44</v>
      </c>
      <c r="C40" s="3" t="s">
        <v>75</v>
      </c>
      <c r="D40" s="3" t="s">
        <v>89</v>
      </c>
      <c r="E40" s="3" t="s">
        <v>90</v>
      </c>
      <c r="F40" s="3" t="s">
        <v>91</v>
      </c>
      <c r="G40" s="3" t="s">
        <v>92</v>
      </c>
    </row>
    <row r="41" spans="1:7" x14ac:dyDescent="0.3">
      <c r="B41" s="4" t="s">
        <v>97</v>
      </c>
      <c r="C41" s="4" t="s">
        <v>323</v>
      </c>
      <c r="D41" s="4">
        <v>1</v>
      </c>
      <c r="E41" s="4" t="s">
        <v>324</v>
      </c>
      <c r="F41" s="4" t="s">
        <v>96</v>
      </c>
      <c r="G41" s="4">
        <v>0</v>
      </c>
    </row>
    <row r="42" spans="1:7" x14ac:dyDescent="0.3">
      <c r="B42" s="4" t="s">
        <v>100</v>
      </c>
      <c r="C42" s="4" t="s">
        <v>323</v>
      </c>
      <c r="D42" s="4">
        <v>0</v>
      </c>
      <c r="E42" s="4" t="s">
        <v>325</v>
      </c>
      <c r="F42" s="4" t="s">
        <v>96</v>
      </c>
      <c r="G42" s="4">
        <v>0</v>
      </c>
    </row>
    <row r="43" spans="1:7" x14ac:dyDescent="0.3">
      <c r="B43" s="4" t="s">
        <v>104</v>
      </c>
      <c r="C43" s="4" t="s">
        <v>323</v>
      </c>
      <c r="D43" s="4">
        <v>0</v>
      </c>
      <c r="E43" s="4" t="s">
        <v>326</v>
      </c>
      <c r="F43" s="4" t="s">
        <v>96</v>
      </c>
      <c r="G43" s="4">
        <v>0</v>
      </c>
    </row>
    <row r="44" spans="1:7" x14ac:dyDescent="0.3">
      <c r="B44" s="4" t="s">
        <v>107</v>
      </c>
      <c r="C44" s="4" t="s">
        <v>323</v>
      </c>
      <c r="D44" s="4">
        <v>0</v>
      </c>
      <c r="E44" s="4" t="s">
        <v>327</v>
      </c>
      <c r="F44" s="4" t="s">
        <v>96</v>
      </c>
      <c r="G44" s="4">
        <v>0</v>
      </c>
    </row>
    <row r="45" spans="1:7" x14ac:dyDescent="0.3">
      <c r="B45" s="4" t="s">
        <v>110</v>
      </c>
      <c r="C45" s="4" t="s">
        <v>323</v>
      </c>
      <c r="D45" s="4">
        <v>0</v>
      </c>
      <c r="E45" s="4" t="s">
        <v>328</v>
      </c>
      <c r="F45" s="4" t="s">
        <v>96</v>
      </c>
      <c r="G45" s="4">
        <v>0</v>
      </c>
    </row>
    <row r="46" spans="1:7" x14ac:dyDescent="0.3">
      <c r="B46" s="4" t="s">
        <v>113</v>
      </c>
      <c r="C46" s="4" t="s">
        <v>323</v>
      </c>
      <c r="D46" s="4">
        <v>0</v>
      </c>
      <c r="E46" s="4" t="s">
        <v>329</v>
      </c>
      <c r="F46" s="4" t="s">
        <v>96</v>
      </c>
      <c r="G46" s="4">
        <v>0</v>
      </c>
    </row>
    <row r="47" spans="1:7" x14ac:dyDescent="0.3">
      <c r="B47" s="4" t="s">
        <v>116</v>
      </c>
      <c r="C47" s="4" t="s">
        <v>323</v>
      </c>
      <c r="D47" s="4">
        <v>0</v>
      </c>
      <c r="E47" s="4" t="s">
        <v>330</v>
      </c>
      <c r="F47" s="4" t="s">
        <v>96</v>
      </c>
      <c r="G47" s="4">
        <v>0</v>
      </c>
    </row>
    <row r="48" spans="1:7" x14ac:dyDescent="0.3">
      <c r="B48" s="4" t="s">
        <v>119</v>
      </c>
      <c r="C48" s="4" t="s">
        <v>323</v>
      </c>
      <c r="D48" s="4">
        <v>0</v>
      </c>
      <c r="E48" s="4" t="s">
        <v>331</v>
      </c>
      <c r="F48" s="4" t="s">
        <v>96</v>
      </c>
      <c r="G48" s="4">
        <v>0</v>
      </c>
    </row>
    <row r="49" spans="2:7" x14ac:dyDescent="0.3">
      <c r="B49" s="4" t="s">
        <v>332</v>
      </c>
      <c r="C49" s="4" t="s">
        <v>323</v>
      </c>
      <c r="D49" s="4">
        <v>0</v>
      </c>
      <c r="E49" s="4" t="s">
        <v>333</v>
      </c>
      <c r="F49" s="4" t="s">
        <v>96</v>
      </c>
      <c r="G49" s="4">
        <v>0</v>
      </c>
    </row>
    <row r="50" spans="2:7" x14ac:dyDescent="0.3">
      <c r="B50" s="4" t="s">
        <v>334</v>
      </c>
      <c r="C50" s="4" t="s">
        <v>323</v>
      </c>
      <c r="D50" s="4">
        <v>0</v>
      </c>
      <c r="E50" s="4" t="s">
        <v>335</v>
      </c>
      <c r="F50" s="4" t="s">
        <v>96</v>
      </c>
      <c r="G50" s="4">
        <v>0</v>
      </c>
    </row>
    <row r="51" spans="2:7" x14ac:dyDescent="0.3">
      <c r="B51" s="4" t="s">
        <v>336</v>
      </c>
      <c r="C51" s="4" t="s">
        <v>323</v>
      </c>
      <c r="D51" s="4">
        <v>0</v>
      </c>
      <c r="E51" s="4" t="s">
        <v>337</v>
      </c>
      <c r="F51" s="4" t="s">
        <v>96</v>
      </c>
      <c r="G51" s="4">
        <v>0</v>
      </c>
    </row>
    <row r="52" spans="2:7" x14ac:dyDescent="0.3">
      <c r="B52" s="4" t="s">
        <v>338</v>
      </c>
      <c r="C52" s="4" t="s">
        <v>323</v>
      </c>
      <c r="D52" s="4">
        <v>-1</v>
      </c>
      <c r="E52" s="4" t="s">
        <v>339</v>
      </c>
      <c r="F52" s="4" t="s">
        <v>96</v>
      </c>
      <c r="G52" s="4">
        <v>0</v>
      </c>
    </row>
    <row r="53" spans="2:7" x14ac:dyDescent="0.3">
      <c r="B53" s="4" t="s">
        <v>309</v>
      </c>
      <c r="C53" s="4" t="s">
        <v>310</v>
      </c>
      <c r="D53" s="4">
        <v>1</v>
      </c>
      <c r="E53" s="4" t="s">
        <v>340</v>
      </c>
      <c r="F53" s="4" t="s">
        <v>103</v>
      </c>
      <c r="G53" s="4">
        <v>1</v>
      </c>
    </row>
    <row r="54" spans="2:7" x14ac:dyDescent="0.3">
      <c r="B54" s="4" t="s">
        <v>312</v>
      </c>
      <c r="C54" s="4" t="s">
        <v>310</v>
      </c>
      <c r="D54" s="4">
        <v>0</v>
      </c>
      <c r="E54" s="4" t="s">
        <v>341</v>
      </c>
      <c r="F54" s="4" t="s">
        <v>96</v>
      </c>
      <c r="G54" s="4">
        <v>0</v>
      </c>
    </row>
    <row r="55" spans="2:7" x14ac:dyDescent="0.3">
      <c r="B55" s="4" t="s">
        <v>313</v>
      </c>
      <c r="C55" s="4" t="s">
        <v>310</v>
      </c>
      <c r="D55" s="4">
        <v>1</v>
      </c>
      <c r="E55" s="4" t="s">
        <v>342</v>
      </c>
      <c r="F55" s="4" t="s">
        <v>103</v>
      </c>
      <c r="G55" s="4">
        <v>1</v>
      </c>
    </row>
    <row r="56" spans="2:7" x14ac:dyDescent="0.3">
      <c r="B56" s="4" t="s">
        <v>314</v>
      </c>
      <c r="C56" s="4" t="s">
        <v>310</v>
      </c>
      <c r="D56" s="4">
        <v>0</v>
      </c>
      <c r="E56" s="4" t="s">
        <v>343</v>
      </c>
      <c r="F56" s="4" t="s">
        <v>96</v>
      </c>
      <c r="G56" s="4">
        <v>0</v>
      </c>
    </row>
    <row r="57" spans="2:7" x14ac:dyDescent="0.3">
      <c r="B57" s="4" t="s">
        <v>315</v>
      </c>
      <c r="C57" s="4" t="s">
        <v>310</v>
      </c>
      <c r="D57" s="4">
        <v>0</v>
      </c>
      <c r="E57" s="4" t="s">
        <v>344</v>
      </c>
      <c r="F57" s="4" t="s">
        <v>96</v>
      </c>
      <c r="G57" s="4">
        <v>0</v>
      </c>
    </row>
    <row r="58" spans="2:7" x14ac:dyDescent="0.3">
      <c r="B58" s="4" t="s">
        <v>316</v>
      </c>
      <c r="C58" s="4" t="s">
        <v>310</v>
      </c>
      <c r="D58" s="4">
        <v>0</v>
      </c>
      <c r="E58" s="4" t="s">
        <v>345</v>
      </c>
      <c r="F58" s="4" t="s">
        <v>96</v>
      </c>
      <c r="G58" s="4">
        <v>0</v>
      </c>
    </row>
    <row r="59" spans="2:7" x14ac:dyDescent="0.3">
      <c r="B59" s="4" t="s">
        <v>234</v>
      </c>
      <c r="C59" s="4" t="s">
        <v>310</v>
      </c>
      <c r="D59" s="4">
        <v>0</v>
      </c>
      <c r="E59" s="4" t="s">
        <v>346</v>
      </c>
      <c r="F59" s="4" t="s">
        <v>96</v>
      </c>
      <c r="G59" s="4">
        <v>0</v>
      </c>
    </row>
    <row r="60" spans="2:7" x14ac:dyDescent="0.3">
      <c r="B60" s="4" t="s">
        <v>237</v>
      </c>
      <c r="C60" s="4" t="s">
        <v>310</v>
      </c>
      <c r="D60" s="4">
        <v>0</v>
      </c>
      <c r="E60" s="4" t="s">
        <v>347</v>
      </c>
      <c r="F60" s="4" t="s">
        <v>96</v>
      </c>
      <c r="G60" s="4">
        <v>0</v>
      </c>
    </row>
    <row r="61" spans="2:7" x14ac:dyDescent="0.3">
      <c r="B61" s="4" t="s">
        <v>240</v>
      </c>
      <c r="C61" s="4" t="s">
        <v>310</v>
      </c>
      <c r="D61" s="4">
        <v>0</v>
      </c>
      <c r="E61" s="4" t="s">
        <v>348</v>
      </c>
      <c r="F61" s="4" t="s">
        <v>96</v>
      </c>
      <c r="G61" s="4">
        <v>0</v>
      </c>
    </row>
    <row r="62" spans="2:7" x14ac:dyDescent="0.3">
      <c r="B62" s="4" t="s">
        <v>317</v>
      </c>
      <c r="C62" s="4" t="s">
        <v>310</v>
      </c>
      <c r="D62" s="4">
        <v>1</v>
      </c>
      <c r="E62" s="4" t="s">
        <v>349</v>
      </c>
      <c r="F62" s="4" t="s">
        <v>103</v>
      </c>
      <c r="G62" s="4">
        <v>1</v>
      </c>
    </row>
    <row r="63" spans="2:7" x14ac:dyDescent="0.3">
      <c r="B63" s="4" t="s">
        <v>87</v>
      </c>
      <c r="C63" s="4" t="s">
        <v>310</v>
      </c>
      <c r="D63" s="4">
        <v>0</v>
      </c>
      <c r="E63" s="4" t="s">
        <v>350</v>
      </c>
      <c r="F63" s="4" t="s">
        <v>96</v>
      </c>
      <c r="G63" s="4">
        <v>0</v>
      </c>
    </row>
    <row r="64" spans="2:7" x14ac:dyDescent="0.3">
      <c r="B64" s="4" t="s">
        <v>318</v>
      </c>
      <c r="C64" s="4" t="s">
        <v>310</v>
      </c>
      <c r="D64" s="4">
        <v>0</v>
      </c>
      <c r="E64" s="4" t="s">
        <v>351</v>
      </c>
      <c r="F64" s="4" t="s">
        <v>96</v>
      </c>
      <c r="G64" s="4">
        <v>0</v>
      </c>
    </row>
    <row r="65" spans="2:7" x14ac:dyDescent="0.3">
      <c r="B65" s="4" t="s">
        <v>319</v>
      </c>
      <c r="C65" s="4" t="s">
        <v>310</v>
      </c>
      <c r="D65" s="4">
        <v>1</v>
      </c>
      <c r="E65" s="4" t="s">
        <v>352</v>
      </c>
      <c r="F65" s="4" t="s">
        <v>103</v>
      </c>
      <c r="G65" s="4">
        <v>1</v>
      </c>
    </row>
    <row r="66" spans="2:7" x14ac:dyDescent="0.3">
      <c r="B66" s="4" t="s">
        <v>320</v>
      </c>
      <c r="C66" s="4" t="s">
        <v>310</v>
      </c>
      <c r="D66" s="4">
        <v>0</v>
      </c>
      <c r="E66" s="4" t="s">
        <v>353</v>
      </c>
      <c r="F66" s="4" t="s">
        <v>96</v>
      </c>
      <c r="G66" s="4">
        <v>0</v>
      </c>
    </row>
    <row r="67" spans="2:7" x14ac:dyDescent="0.3">
      <c r="B67" s="4" t="s">
        <v>321</v>
      </c>
      <c r="C67" s="4" t="s">
        <v>310</v>
      </c>
      <c r="D67" s="4">
        <v>0</v>
      </c>
      <c r="E67" s="4" t="s">
        <v>354</v>
      </c>
      <c r="F67" s="4" t="s">
        <v>96</v>
      </c>
      <c r="G67" s="4">
        <v>0</v>
      </c>
    </row>
    <row r="68" spans="2:7" x14ac:dyDescent="0.3">
      <c r="B68" s="4" t="s">
        <v>322</v>
      </c>
      <c r="C68" s="4" t="s">
        <v>310</v>
      </c>
      <c r="D68" s="4">
        <v>0</v>
      </c>
      <c r="E68" s="4" t="s">
        <v>355</v>
      </c>
      <c r="F68" s="4" t="s">
        <v>96</v>
      </c>
      <c r="G68" s="4">
        <v>0</v>
      </c>
    </row>
    <row r="69" spans="2:7" ht="15" customHeight="1" thickBot="1" x14ac:dyDescent="0.35">
      <c r="B69" s="2" t="s">
        <v>356</v>
      </c>
      <c r="C69" s="2"/>
      <c r="D69" s="2"/>
      <c r="E69" s="2"/>
      <c r="F69" s="2"/>
      <c r="G69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5" tint="0.39997558519241921"/>
  </sheetPr>
  <dimension ref="A1:J36"/>
  <sheetViews>
    <sheetView zoomScale="69" workbookViewId="0">
      <selection activeCell="E21" sqref="E21"/>
    </sheetView>
  </sheetViews>
  <sheetFormatPr defaultRowHeight="15" x14ac:dyDescent="0.3"/>
  <cols>
    <col min="1" max="1" width="13" style="8" customWidth="1"/>
    <col min="2" max="2" width="14" style="8" bestFit="1" customWidth="1"/>
    <col min="3" max="3" width="75" style="8" customWidth="1"/>
    <col min="4" max="6" width="8.88671875" style="8" customWidth="1"/>
    <col min="7" max="7" width="11.109375" style="8" bestFit="1" customWidth="1"/>
    <col min="8" max="8" width="11.109375" style="8" customWidth="1"/>
    <col min="9" max="9" width="8.88671875" style="8" customWidth="1"/>
    <col min="10" max="10" width="14.109375" style="8" bestFit="1" customWidth="1"/>
    <col min="11" max="11" width="8.88671875" style="8" customWidth="1"/>
    <col min="12" max="16384" width="8.88671875" style="8"/>
  </cols>
  <sheetData>
    <row r="1" spans="1:10" ht="28.8" customHeight="1" x14ac:dyDescent="0.3">
      <c r="A1" s="7" t="s">
        <v>357</v>
      </c>
      <c r="B1" s="7" t="s">
        <v>358</v>
      </c>
      <c r="C1" s="7" t="s">
        <v>259</v>
      </c>
      <c r="D1" s="7" t="s">
        <v>310</v>
      </c>
      <c r="F1" s="7" t="s">
        <v>359</v>
      </c>
      <c r="G1" s="7" t="s">
        <v>323</v>
      </c>
      <c r="H1" s="7" t="s">
        <v>360</v>
      </c>
      <c r="J1" s="72" t="s">
        <v>267</v>
      </c>
    </row>
    <row r="2" spans="1:10" x14ac:dyDescent="0.3">
      <c r="A2" s="43">
        <v>0</v>
      </c>
      <c r="B2" s="43">
        <v>1</v>
      </c>
      <c r="C2" s="43">
        <v>300</v>
      </c>
      <c r="D2" s="43">
        <v>1</v>
      </c>
      <c r="F2" s="12">
        <v>0</v>
      </c>
      <c r="G2" s="12">
        <f t="shared" ref="G2:G13" si="0">SUMIF($A$2:$A$17, F2, $D$2:$D$17) - SUMIF($B$2:$B$17, F2, $D$2:$D$17)</f>
        <v>1</v>
      </c>
      <c r="H2" s="77">
        <v>1</v>
      </c>
      <c r="J2" s="72">
        <f>SUMPRODUCT(C2:C17,D2:D17)</f>
        <v>1150</v>
      </c>
    </row>
    <row r="3" spans="1:10" x14ac:dyDescent="0.3">
      <c r="A3" s="17">
        <v>0</v>
      </c>
      <c r="B3" s="17">
        <v>2</v>
      </c>
      <c r="C3" s="17">
        <v>125</v>
      </c>
      <c r="D3" s="17">
        <v>0</v>
      </c>
      <c r="F3" s="17">
        <v>1</v>
      </c>
      <c r="G3" s="17">
        <f t="shared" si="0"/>
        <v>0</v>
      </c>
      <c r="H3" s="17">
        <v>0</v>
      </c>
    </row>
    <row r="4" spans="1:10" x14ac:dyDescent="0.3">
      <c r="A4" s="43">
        <v>1</v>
      </c>
      <c r="B4" s="43">
        <v>5</v>
      </c>
      <c r="C4" s="43">
        <v>460</v>
      </c>
      <c r="D4" s="43">
        <v>1</v>
      </c>
      <c r="F4" s="12">
        <v>2</v>
      </c>
      <c r="G4" s="12">
        <f t="shared" si="0"/>
        <v>0</v>
      </c>
      <c r="H4" s="12">
        <v>0</v>
      </c>
    </row>
    <row r="5" spans="1:10" x14ac:dyDescent="0.3">
      <c r="A5" s="17">
        <v>1</v>
      </c>
      <c r="B5" s="17">
        <v>4</v>
      </c>
      <c r="C5" s="17">
        <v>160</v>
      </c>
      <c r="D5" s="17">
        <v>0</v>
      </c>
      <c r="F5" s="17">
        <v>3</v>
      </c>
      <c r="G5" s="17">
        <f t="shared" si="0"/>
        <v>0</v>
      </c>
      <c r="H5" s="17">
        <v>0</v>
      </c>
    </row>
    <row r="6" spans="1:10" x14ac:dyDescent="0.3">
      <c r="A6" s="12">
        <v>2</v>
      </c>
      <c r="B6" s="12">
        <v>3</v>
      </c>
      <c r="C6" s="12">
        <v>480</v>
      </c>
      <c r="D6" s="12">
        <v>0</v>
      </c>
      <c r="F6" s="12">
        <v>4</v>
      </c>
      <c r="G6" s="12">
        <f t="shared" si="0"/>
        <v>0</v>
      </c>
      <c r="H6" s="12">
        <v>0</v>
      </c>
    </row>
    <row r="7" spans="1:10" x14ac:dyDescent="0.3">
      <c r="A7" s="17">
        <v>3</v>
      </c>
      <c r="B7" s="17">
        <v>4</v>
      </c>
      <c r="C7" s="17">
        <v>245</v>
      </c>
      <c r="D7" s="17">
        <v>0</v>
      </c>
      <c r="F7" s="17">
        <v>5</v>
      </c>
      <c r="G7" s="17">
        <f t="shared" si="0"/>
        <v>0</v>
      </c>
      <c r="H7" s="17">
        <v>0</v>
      </c>
    </row>
    <row r="8" spans="1:10" x14ac:dyDescent="0.3">
      <c r="A8" s="12">
        <v>3</v>
      </c>
      <c r="B8" s="12">
        <v>6</v>
      </c>
      <c r="C8" s="12">
        <v>480</v>
      </c>
      <c r="D8" s="12">
        <v>0</v>
      </c>
      <c r="F8" s="12">
        <v>6</v>
      </c>
      <c r="G8" s="12">
        <f t="shared" si="0"/>
        <v>0</v>
      </c>
      <c r="H8" s="12">
        <v>0</v>
      </c>
    </row>
    <row r="9" spans="1:10" x14ac:dyDescent="0.3">
      <c r="A9" s="17">
        <v>4</v>
      </c>
      <c r="B9" s="17">
        <v>1</v>
      </c>
      <c r="C9" s="17">
        <v>160</v>
      </c>
      <c r="D9" s="17">
        <v>0</v>
      </c>
      <c r="F9" s="17">
        <v>7</v>
      </c>
      <c r="G9" s="17">
        <f t="shared" si="0"/>
        <v>0</v>
      </c>
      <c r="H9" s="17">
        <v>0</v>
      </c>
    </row>
    <row r="10" spans="1:10" x14ac:dyDescent="0.3">
      <c r="A10" s="12">
        <v>4</v>
      </c>
      <c r="B10" s="12">
        <v>3</v>
      </c>
      <c r="C10" s="12">
        <v>245</v>
      </c>
      <c r="D10" s="12">
        <v>0</v>
      </c>
      <c r="F10" s="12">
        <v>8</v>
      </c>
      <c r="G10" s="12">
        <f t="shared" si="0"/>
        <v>0</v>
      </c>
      <c r="H10" s="12">
        <v>0</v>
      </c>
    </row>
    <row r="11" spans="1:10" x14ac:dyDescent="0.3">
      <c r="A11" s="43">
        <v>5</v>
      </c>
      <c r="B11" s="43">
        <v>7</v>
      </c>
      <c r="C11" s="43">
        <v>320</v>
      </c>
      <c r="D11" s="43">
        <v>1</v>
      </c>
      <c r="F11" s="17">
        <v>9</v>
      </c>
      <c r="G11" s="17">
        <f t="shared" si="0"/>
        <v>0</v>
      </c>
      <c r="H11" s="17">
        <v>0</v>
      </c>
    </row>
    <row r="12" spans="1:10" x14ac:dyDescent="0.3">
      <c r="A12" s="12">
        <v>6</v>
      </c>
      <c r="B12" s="12">
        <v>9</v>
      </c>
      <c r="C12" s="12">
        <v>145</v>
      </c>
      <c r="D12" s="12">
        <v>0</v>
      </c>
      <c r="F12" s="12">
        <v>10</v>
      </c>
      <c r="G12" s="12">
        <f t="shared" si="0"/>
        <v>0</v>
      </c>
      <c r="H12" s="12">
        <v>0</v>
      </c>
    </row>
    <row r="13" spans="1:10" x14ac:dyDescent="0.3">
      <c r="A13" s="17">
        <v>7</v>
      </c>
      <c r="B13" s="17">
        <v>8</v>
      </c>
      <c r="C13" s="17">
        <v>130</v>
      </c>
      <c r="D13" s="17">
        <v>0</v>
      </c>
      <c r="F13" s="17">
        <v>11</v>
      </c>
      <c r="G13" s="17">
        <f t="shared" si="0"/>
        <v>-1</v>
      </c>
      <c r="H13" s="77">
        <v>-1</v>
      </c>
    </row>
    <row r="14" spans="1:10" x14ac:dyDescent="0.3">
      <c r="A14" s="43">
        <v>7</v>
      </c>
      <c r="B14" s="43">
        <v>11</v>
      </c>
      <c r="C14" s="43">
        <v>70</v>
      </c>
      <c r="D14" s="43">
        <v>1</v>
      </c>
    </row>
    <row r="15" spans="1:10" x14ac:dyDescent="0.3">
      <c r="A15" s="17">
        <v>8</v>
      </c>
      <c r="B15" s="17">
        <v>9</v>
      </c>
      <c r="C15" s="17">
        <v>40</v>
      </c>
      <c r="D15" s="17">
        <v>0</v>
      </c>
    </row>
    <row r="16" spans="1:10" x14ac:dyDescent="0.3">
      <c r="A16" s="12">
        <v>9</v>
      </c>
      <c r="B16" s="12">
        <v>10</v>
      </c>
      <c r="C16" s="12">
        <v>100</v>
      </c>
      <c r="D16" s="12">
        <v>0</v>
      </c>
    </row>
    <row r="17" spans="1:4" x14ac:dyDescent="0.3">
      <c r="A17" s="17">
        <v>10</v>
      </c>
      <c r="B17" s="17">
        <v>11</v>
      </c>
      <c r="C17" s="17">
        <v>170</v>
      </c>
      <c r="D17" s="17">
        <v>0</v>
      </c>
    </row>
    <row r="20" spans="1:4" ht="15.6" customHeight="1" x14ac:dyDescent="0.3">
      <c r="A20" s="102" t="s">
        <v>361</v>
      </c>
      <c r="B20" s="103"/>
      <c r="C20" s="104"/>
    </row>
    <row r="21" spans="1:4" x14ac:dyDescent="0.3">
      <c r="A21" s="48" t="s">
        <v>43</v>
      </c>
      <c r="B21" s="48" t="s">
        <v>44</v>
      </c>
      <c r="C21" s="49" t="s">
        <v>45</v>
      </c>
    </row>
    <row r="22" spans="1:4" x14ac:dyDescent="0.3">
      <c r="A22" s="50">
        <v>1</v>
      </c>
      <c r="B22" s="51" t="s">
        <v>362</v>
      </c>
      <c r="C22" s="52" t="s">
        <v>363</v>
      </c>
    </row>
    <row r="23" spans="1:4" ht="28.8" customHeight="1" x14ac:dyDescent="0.3">
      <c r="A23" s="53">
        <v>2</v>
      </c>
      <c r="B23" s="54" t="s">
        <v>364</v>
      </c>
      <c r="C23" s="55" t="s">
        <v>365</v>
      </c>
    </row>
    <row r="24" spans="1:4" x14ac:dyDescent="0.3">
      <c r="A24" s="50">
        <v>3</v>
      </c>
      <c r="B24" s="51" t="s">
        <v>366</v>
      </c>
      <c r="C24" s="52" t="s">
        <v>367</v>
      </c>
    </row>
    <row r="25" spans="1:4" ht="28.8" customHeight="1" x14ac:dyDescent="0.3">
      <c r="A25" s="53">
        <v>4</v>
      </c>
      <c r="B25" s="54" t="s">
        <v>368</v>
      </c>
      <c r="C25" s="55" t="s">
        <v>369</v>
      </c>
    </row>
    <row r="26" spans="1:4" x14ac:dyDescent="0.3">
      <c r="A26" s="50">
        <v>5</v>
      </c>
      <c r="B26" s="51" t="s">
        <v>370</v>
      </c>
      <c r="C26" s="52" t="s">
        <v>371</v>
      </c>
    </row>
    <row r="29" spans="1:4" ht="15.6" x14ac:dyDescent="0.3">
      <c r="A29" s="100"/>
      <c r="B29" s="101"/>
      <c r="C29" s="101"/>
    </row>
    <row r="30" spans="1:4" x14ac:dyDescent="0.3">
      <c r="A30" s="84"/>
      <c r="B30" s="84"/>
      <c r="C30" s="85"/>
    </row>
    <row r="31" spans="1:4" x14ac:dyDescent="0.3">
      <c r="A31" s="86"/>
      <c r="B31" s="87"/>
      <c r="C31" s="88"/>
    </row>
    <row r="32" spans="1:4" x14ac:dyDescent="0.3">
      <c r="A32" s="86"/>
      <c r="B32" s="87"/>
      <c r="C32" s="88"/>
    </row>
    <row r="33" spans="1:3" x14ac:dyDescent="0.3">
      <c r="A33" s="86"/>
      <c r="B33" s="87"/>
      <c r="C33" s="88"/>
    </row>
    <row r="34" spans="1:3" x14ac:dyDescent="0.3">
      <c r="A34" s="86"/>
      <c r="B34" s="87"/>
      <c r="C34" s="88"/>
    </row>
    <row r="35" spans="1:3" x14ac:dyDescent="0.3">
      <c r="A35" s="86"/>
      <c r="B35" s="87"/>
      <c r="C35" s="88"/>
    </row>
    <row r="36" spans="1:3" x14ac:dyDescent="0.3">
      <c r="A36" s="86"/>
      <c r="B36" s="87"/>
      <c r="C36" s="88"/>
    </row>
  </sheetData>
  <mergeCells count="2">
    <mergeCell ref="A29:C29"/>
    <mergeCell ref="A20:C2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G66"/>
  <sheetViews>
    <sheetView showGridLines="0" topLeftCell="A3" zoomScale="77" workbookViewId="0"/>
  </sheetViews>
  <sheetFormatPr defaultRowHeight="14.4" x14ac:dyDescent="0.3"/>
  <cols>
    <col min="1" max="1" width="2.33203125" customWidth="1"/>
    <col min="2" max="2" width="6.21875" bestFit="1" customWidth="1"/>
    <col min="3" max="3" width="21.5546875" bestFit="1" customWidth="1"/>
    <col min="4" max="4" width="12.6640625" bestFit="1" customWidth="1"/>
    <col min="5" max="5" width="13.44140625" bestFit="1" customWidth="1"/>
    <col min="6" max="6" width="10.44140625" bestFit="1" customWidth="1"/>
    <col min="7" max="7" width="5.33203125" bestFit="1" customWidth="1"/>
  </cols>
  <sheetData>
    <row r="1" spans="1:5" x14ac:dyDescent="0.3">
      <c r="A1" s="1" t="s">
        <v>63</v>
      </c>
    </row>
    <row r="2" spans="1:5" x14ac:dyDescent="0.3">
      <c r="A2" s="1" t="s">
        <v>372</v>
      </c>
    </row>
    <row r="3" spans="1:5" x14ac:dyDescent="0.3">
      <c r="A3" s="1" t="s">
        <v>373</v>
      </c>
    </row>
    <row r="4" spans="1:5" x14ac:dyDescent="0.3">
      <c r="A4" s="1" t="s">
        <v>66</v>
      </c>
    </row>
    <row r="5" spans="1:5" x14ac:dyDescent="0.3">
      <c r="A5" s="1" t="s">
        <v>67</v>
      </c>
    </row>
    <row r="6" spans="1:5" x14ac:dyDescent="0.3">
      <c r="A6" s="1"/>
      <c r="B6" t="s">
        <v>68</v>
      </c>
    </row>
    <row r="7" spans="1:5" x14ac:dyDescent="0.3">
      <c r="A7" s="1"/>
      <c r="B7" t="s">
        <v>202</v>
      </c>
    </row>
    <row r="8" spans="1:5" x14ac:dyDescent="0.3">
      <c r="A8" s="1"/>
      <c r="B8" t="s">
        <v>70</v>
      </c>
    </row>
    <row r="9" spans="1:5" x14ac:dyDescent="0.3">
      <c r="A9" s="1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customHeight="1" thickBot="1" x14ac:dyDescent="0.35">
      <c r="A14" t="s">
        <v>74</v>
      </c>
    </row>
    <row r="15" spans="1:5" ht="15" customHeight="1" thickBot="1" x14ac:dyDescent="0.35">
      <c r="B15" s="3" t="s">
        <v>44</v>
      </c>
      <c r="C15" s="3" t="s">
        <v>75</v>
      </c>
      <c r="D15" s="3" t="s">
        <v>76</v>
      </c>
      <c r="E15" s="3" t="s">
        <v>77</v>
      </c>
    </row>
    <row r="16" spans="1:5" ht="15" customHeight="1" thickBot="1" x14ac:dyDescent="0.35">
      <c r="B16" s="2" t="s">
        <v>308</v>
      </c>
      <c r="C16" s="2" t="s">
        <v>374</v>
      </c>
      <c r="D16" s="2">
        <v>170</v>
      </c>
      <c r="E16" s="2">
        <v>170</v>
      </c>
    </row>
    <row r="19" spans="1:6" ht="15" customHeight="1" thickBot="1" x14ac:dyDescent="0.35">
      <c r="A19" t="s">
        <v>80</v>
      </c>
    </row>
    <row r="20" spans="1:6" ht="15" customHeight="1" thickBot="1" x14ac:dyDescent="0.35">
      <c r="B20" s="3" t="s">
        <v>44</v>
      </c>
      <c r="C20" s="3" t="s">
        <v>75</v>
      </c>
      <c r="D20" s="3" t="s">
        <v>76</v>
      </c>
      <c r="E20" s="3" t="s">
        <v>77</v>
      </c>
      <c r="F20" s="3" t="s">
        <v>81</v>
      </c>
    </row>
    <row r="21" spans="1:6" x14ac:dyDescent="0.3">
      <c r="B21" s="4" t="s">
        <v>309</v>
      </c>
      <c r="C21" s="4" t="s">
        <v>375</v>
      </c>
      <c r="D21" s="4">
        <v>70</v>
      </c>
      <c r="E21" s="4">
        <v>70</v>
      </c>
      <c r="F21" s="4" t="s">
        <v>84</v>
      </c>
    </row>
    <row r="22" spans="1:6" x14ac:dyDescent="0.3">
      <c r="B22" s="4" t="s">
        <v>312</v>
      </c>
      <c r="C22" s="4" t="s">
        <v>375</v>
      </c>
      <c r="D22" s="4">
        <v>100</v>
      </c>
      <c r="E22" s="4">
        <v>100</v>
      </c>
      <c r="F22" s="4" t="s">
        <v>84</v>
      </c>
    </row>
    <row r="23" spans="1:6" x14ac:dyDescent="0.3">
      <c r="B23" s="4" t="s">
        <v>313</v>
      </c>
      <c r="C23" s="4" t="s">
        <v>375</v>
      </c>
      <c r="D23" s="4">
        <v>70</v>
      </c>
      <c r="E23" s="4">
        <v>70</v>
      </c>
      <c r="F23" s="4" t="s">
        <v>84</v>
      </c>
    </row>
    <row r="24" spans="1:6" x14ac:dyDescent="0.3">
      <c r="B24" s="4" t="s">
        <v>314</v>
      </c>
      <c r="C24" s="4" t="s">
        <v>375</v>
      </c>
      <c r="D24" s="4">
        <v>0</v>
      </c>
      <c r="E24" s="4">
        <v>0</v>
      </c>
      <c r="F24" s="4" t="s">
        <v>84</v>
      </c>
    </row>
    <row r="25" spans="1:6" x14ac:dyDescent="0.3">
      <c r="B25" s="4" t="s">
        <v>315</v>
      </c>
      <c r="C25" s="4" t="s">
        <v>375</v>
      </c>
      <c r="D25" s="4">
        <v>100</v>
      </c>
      <c r="E25" s="4">
        <v>100</v>
      </c>
      <c r="F25" s="4" t="s">
        <v>84</v>
      </c>
    </row>
    <row r="26" spans="1:6" x14ac:dyDescent="0.3">
      <c r="B26" s="4" t="s">
        <v>316</v>
      </c>
      <c r="C26" s="4" t="s">
        <v>375</v>
      </c>
      <c r="D26" s="4">
        <v>0</v>
      </c>
      <c r="E26" s="4">
        <v>0</v>
      </c>
      <c r="F26" s="4" t="s">
        <v>84</v>
      </c>
    </row>
    <row r="27" spans="1:6" x14ac:dyDescent="0.3">
      <c r="B27" s="4" t="s">
        <v>234</v>
      </c>
      <c r="C27" s="4" t="s">
        <v>375</v>
      </c>
      <c r="D27" s="4">
        <v>100</v>
      </c>
      <c r="E27" s="4">
        <v>100</v>
      </c>
      <c r="F27" s="4" t="s">
        <v>84</v>
      </c>
    </row>
    <row r="28" spans="1:6" x14ac:dyDescent="0.3">
      <c r="B28" s="4" t="s">
        <v>237</v>
      </c>
      <c r="C28" s="4" t="s">
        <v>375</v>
      </c>
      <c r="D28" s="4">
        <v>0</v>
      </c>
      <c r="E28" s="4">
        <v>0</v>
      </c>
      <c r="F28" s="4" t="s">
        <v>84</v>
      </c>
    </row>
    <row r="29" spans="1:6" x14ac:dyDescent="0.3">
      <c r="B29" s="4" t="s">
        <v>240</v>
      </c>
      <c r="C29" s="4" t="s">
        <v>375</v>
      </c>
      <c r="D29" s="4">
        <v>0</v>
      </c>
      <c r="E29" s="4">
        <v>0</v>
      </c>
      <c r="F29" s="4" t="s">
        <v>84</v>
      </c>
    </row>
    <row r="30" spans="1:6" x14ac:dyDescent="0.3">
      <c r="B30" s="4" t="s">
        <v>317</v>
      </c>
      <c r="C30" s="4" t="s">
        <v>375</v>
      </c>
      <c r="D30" s="4">
        <v>70</v>
      </c>
      <c r="E30" s="4">
        <v>70</v>
      </c>
      <c r="F30" s="4" t="s">
        <v>84</v>
      </c>
    </row>
    <row r="31" spans="1:6" x14ac:dyDescent="0.3">
      <c r="B31" s="4" t="s">
        <v>87</v>
      </c>
      <c r="C31" s="4" t="s">
        <v>375</v>
      </c>
      <c r="D31" s="4">
        <v>100</v>
      </c>
      <c r="E31" s="4">
        <v>100</v>
      </c>
      <c r="F31" s="4" t="s">
        <v>84</v>
      </c>
    </row>
    <row r="32" spans="1:6" x14ac:dyDescent="0.3">
      <c r="B32" s="4" t="s">
        <v>318</v>
      </c>
      <c r="C32" s="4" t="s">
        <v>375</v>
      </c>
      <c r="D32" s="4">
        <v>0</v>
      </c>
      <c r="E32" s="4">
        <v>0</v>
      </c>
      <c r="F32" s="4" t="s">
        <v>84</v>
      </c>
    </row>
    <row r="33" spans="1:7" x14ac:dyDescent="0.3">
      <c r="B33" s="4" t="s">
        <v>319</v>
      </c>
      <c r="C33" s="4" t="s">
        <v>375</v>
      </c>
      <c r="D33" s="4">
        <v>70</v>
      </c>
      <c r="E33" s="4">
        <v>70</v>
      </c>
      <c r="F33" s="4" t="s">
        <v>84</v>
      </c>
    </row>
    <row r="34" spans="1:7" x14ac:dyDescent="0.3">
      <c r="B34" s="4" t="s">
        <v>320</v>
      </c>
      <c r="C34" s="4" t="s">
        <v>375</v>
      </c>
      <c r="D34" s="4">
        <v>0</v>
      </c>
      <c r="E34" s="4">
        <v>0</v>
      </c>
      <c r="F34" s="4" t="s">
        <v>84</v>
      </c>
    </row>
    <row r="35" spans="1:7" x14ac:dyDescent="0.3">
      <c r="B35" s="4" t="s">
        <v>321</v>
      </c>
      <c r="C35" s="4" t="s">
        <v>375</v>
      </c>
      <c r="D35" s="4">
        <v>100</v>
      </c>
      <c r="E35" s="4">
        <v>100</v>
      </c>
      <c r="F35" s="4" t="s">
        <v>84</v>
      </c>
    </row>
    <row r="36" spans="1:7" ht="15" customHeight="1" thickBot="1" x14ac:dyDescent="0.35">
      <c r="B36" s="2" t="s">
        <v>322</v>
      </c>
      <c r="C36" s="2" t="s">
        <v>375</v>
      </c>
      <c r="D36" s="2">
        <v>100</v>
      </c>
      <c r="E36" s="2">
        <v>100</v>
      </c>
      <c r="F36" s="2" t="s">
        <v>84</v>
      </c>
    </row>
    <row r="39" spans="1:7" ht="15" customHeight="1" thickBot="1" x14ac:dyDescent="0.35">
      <c r="A39" t="s">
        <v>88</v>
      </c>
    </row>
    <row r="40" spans="1:7" ht="15" customHeight="1" thickBot="1" x14ac:dyDescent="0.35">
      <c r="B40" s="3" t="s">
        <v>44</v>
      </c>
      <c r="C40" s="3" t="s">
        <v>75</v>
      </c>
      <c r="D40" s="3" t="s">
        <v>89</v>
      </c>
      <c r="E40" s="3" t="s">
        <v>90</v>
      </c>
      <c r="F40" s="3" t="s">
        <v>91</v>
      </c>
      <c r="G40" s="3" t="s">
        <v>92</v>
      </c>
    </row>
    <row r="41" spans="1:7" x14ac:dyDescent="0.3">
      <c r="B41" s="4" t="s">
        <v>97</v>
      </c>
      <c r="C41" s="4" t="s">
        <v>376</v>
      </c>
      <c r="D41" s="4">
        <v>0</v>
      </c>
      <c r="E41" s="4" t="s">
        <v>324</v>
      </c>
      <c r="F41" s="4" t="s">
        <v>96</v>
      </c>
      <c r="G41" s="4">
        <v>0</v>
      </c>
    </row>
    <row r="42" spans="1:7" x14ac:dyDescent="0.3">
      <c r="B42" s="4" t="s">
        <v>100</v>
      </c>
      <c r="C42" s="4" t="s">
        <v>376</v>
      </c>
      <c r="D42" s="4">
        <v>0</v>
      </c>
      <c r="E42" s="4" t="s">
        <v>325</v>
      </c>
      <c r="F42" s="4" t="s">
        <v>96</v>
      </c>
      <c r="G42" s="4">
        <v>0</v>
      </c>
    </row>
    <row r="43" spans="1:7" x14ac:dyDescent="0.3">
      <c r="B43" s="4" t="s">
        <v>104</v>
      </c>
      <c r="C43" s="4" t="s">
        <v>376</v>
      </c>
      <c r="D43" s="4">
        <v>0</v>
      </c>
      <c r="E43" s="4" t="s">
        <v>326</v>
      </c>
      <c r="F43" s="4" t="s">
        <v>96</v>
      </c>
      <c r="G43" s="4">
        <v>0</v>
      </c>
    </row>
    <row r="44" spans="1:7" x14ac:dyDescent="0.3">
      <c r="B44" s="4" t="s">
        <v>107</v>
      </c>
      <c r="C44" s="4" t="s">
        <v>376</v>
      </c>
      <c r="D44" s="4">
        <v>0</v>
      </c>
      <c r="E44" s="4" t="s">
        <v>327</v>
      </c>
      <c r="F44" s="4" t="s">
        <v>96</v>
      </c>
      <c r="G44" s="4">
        <v>0</v>
      </c>
    </row>
    <row r="45" spans="1:7" x14ac:dyDescent="0.3">
      <c r="B45" s="4" t="s">
        <v>110</v>
      </c>
      <c r="C45" s="4" t="s">
        <v>376</v>
      </c>
      <c r="D45" s="4">
        <v>0</v>
      </c>
      <c r="E45" s="4" t="s">
        <v>328</v>
      </c>
      <c r="F45" s="4" t="s">
        <v>96</v>
      </c>
      <c r="G45" s="4">
        <v>0</v>
      </c>
    </row>
    <row r="46" spans="1:7" x14ac:dyDescent="0.3">
      <c r="B46" s="4" t="s">
        <v>113</v>
      </c>
      <c r="C46" s="4" t="s">
        <v>376</v>
      </c>
      <c r="D46" s="4">
        <v>0</v>
      </c>
      <c r="E46" s="4" t="s">
        <v>329</v>
      </c>
      <c r="F46" s="4" t="s">
        <v>96</v>
      </c>
      <c r="G46" s="4">
        <v>0</v>
      </c>
    </row>
    <row r="47" spans="1:7" x14ac:dyDescent="0.3">
      <c r="B47" s="4" t="s">
        <v>116</v>
      </c>
      <c r="C47" s="4" t="s">
        <v>376</v>
      </c>
      <c r="D47" s="4">
        <v>0</v>
      </c>
      <c r="E47" s="4" t="s">
        <v>330</v>
      </c>
      <c r="F47" s="4" t="s">
        <v>96</v>
      </c>
      <c r="G47" s="4">
        <v>0</v>
      </c>
    </row>
    <row r="48" spans="1:7" x14ac:dyDescent="0.3">
      <c r="B48" s="4" t="s">
        <v>119</v>
      </c>
      <c r="C48" s="4" t="s">
        <v>376</v>
      </c>
      <c r="D48" s="4">
        <v>0</v>
      </c>
      <c r="E48" s="4" t="s">
        <v>331</v>
      </c>
      <c r="F48" s="4" t="s">
        <v>96</v>
      </c>
      <c r="G48" s="4">
        <v>0</v>
      </c>
    </row>
    <row r="49" spans="2:7" x14ac:dyDescent="0.3">
      <c r="B49" s="4" t="s">
        <v>332</v>
      </c>
      <c r="C49" s="4" t="s">
        <v>376</v>
      </c>
      <c r="D49" s="4">
        <v>0</v>
      </c>
      <c r="E49" s="4" t="s">
        <v>333</v>
      </c>
      <c r="F49" s="4" t="s">
        <v>96</v>
      </c>
      <c r="G49" s="4">
        <v>0</v>
      </c>
    </row>
    <row r="50" spans="2:7" x14ac:dyDescent="0.3">
      <c r="B50" s="4" t="s">
        <v>334</v>
      </c>
      <c r="C50" s="4" t="s">
        <v>376</v>
      </c>
      <c r="D50" s="4">
        <v>0</v>
      </c>
      <c r="E50" s="4" t="s">
        <v>335</v>
      </c>
      <c r="F50" s="4" t="s">
        <v>96</v>
      </c>
      <c r="G50" s="4">
        <v>0</v>
      </c>
    </row>
    <row r="51" spans="2:7" x14ac:dyDescent="0.3">
      <c r="B51" s="4" t="s">
        <v>309</v>
      </c>
      <c r="C51" s="4" t="s">
        <v>375</v>
      </c>
      <c r="D51" s="4">
        <v>70</v>
      </c>
      <c r="E51" s="4" t="s">
        <v>377</v>
      </c>
      <c r="F51" s="4" t="s">
        <v>103</v>
      </c>
      <c r="G51" s="4">
        <v>230</v>
      </c>
    </row>
    <row r="52" spans="2:7" x14ac:dyDescent="0.3">
      <c r="B52" s="4" t="s">
        <v>312</v>
      </c>
      <c r="C52" s="4" t="s">
        <v>375</v>
      </c>
      <c r="D52" s="4">
        <v>100</v>
      </c>
      <c r="E52" s="4" t="s">
        <v>378</v>
      </c>
      <c r="F52" s="4" t="s">
        <v>103</v>
      </c>
      <c r="G52" s="4">
        <v>25</v>
      </c>
    </row>
    <row r="53" spans="2:7" x14ac:dyDescent="0.3">
      <c r="B53" s="4" t="s">
        <v>313</v>
      </c>
      <c r="C53" s="4" t="s">
        <v>375</v>
      </c>
      <c r="D53" s="4">
        <v>70</v>
      </c>
      <c r="E53" s="4" t="s">
        <v>379</v>
      </c>
      <c r="F53" s="4" t="s">
        <v>103</v>
      </c>
      <c r="G53" s="4">
        <v>390</v>
      </c>
    </row>
    <row r="54" spans="2:7" x14ac:dyDescent="0.3">
      <c r="B54" s="4" t="s">
        <v>314</v>
      </c>
      <c r="C54" s="4" t="s">
        <v>375</v>
      </c>
      <c r="D54" s="4">
        <v>0</v>
      </c>
      <c r="E54" s="4" t="s">
        <v>380</v>
      </c>
      <c r="F54" s="4" t="s">
        <v>103</v>
      </c>
      <c r="G54" s="4">
        <v>160</v>
      </c>
    </row>
    <row r="55" spans="2:7" x14ac:dyDescent="0.3">
      <c r="B55" s="4" t="s">
        <v>315</v>
      </c>
      <c r="C55" s="4" t="s">
        <v>375</v>
      </c>
      <c r="D55" s="4">
        <v>100</v>
      </c>
      <c r="E55" s="4" t="s">
        <v>381</v>
      </c>
      <c r="F55" s="4" t="s">
        <v>103</v>
      </c>
      <c r="G55" s="4">
        <v>380</v>
      </c>
    </row>
    <row r="56" spans="2:7" x14ac:dyDescent="0.3">
      <c r="B56" s="4" t="s">
        <v>316</v>
      </c>
      <c r="C56" s="4" t="s">
        <v>375</v>
      </c>
      <c r="D56" s="4">
        <v>0</v>
      </c>
      <c r="E56" s="4" t="s">
        <v>382</v>
      </c>
      <c r="F56" s="4" t="s">
        <v>103</v>
      </c>
      <c r="G56" s="4">
        <v>245</v>
      </c>
    </row>
    <row r="57" spans="2:7" x14ac:dyDescent="0.3">
      <c r="B57" s="4" t="s">
        <v>234</v>
      </c>
      <c r="C57" s="4" t="s">
        <v>375</v>
      </c>
      <c r="D57" s="4">
        <v>100</v>
      </c>
      <c r="E57" s="4" t="s">
        <v>383</v>
      </c>
      <c r="F57" s="4" t="s">
        <v>103</v>
      </c>
      <c r="G57" s="4">
        <v>380</v>
      </c>
    </row>
    <row r="58" spans="2:7" x14ac:dyDescent="0.3">
      <c r="B58" s="4" t="s">
        <v>237</v>
      </c>
      <c r="C58" s="4" t="s">
        <v>375</v>
      </c>
      <c r="D58" s="4">
        <v>0</v>
      </c>
      <c r="E58" s="4" t="s">
        <v>384</v>
      </c>
      <c r="F58" s="4" t="s">
        <v>103</v>
      </c>
      <c r="G58" s="4">
        <v>160</v>
      </c>
    </row>
    <row r="59" spans="2:7" x14ac:dyDescent="0.3">
      <c r="B59" s="4" t="s">
        <v>240</v>
      </c>
      <c r="C59" s="4" t="s">
        <v>375</v>
      </c>
      <c r="D59" s="4">
        <v>0</v>
      </c>
      <c r="E59" s="4" t="s">
        <v>385</v>
      </c>
      <c r="F59" s="4" t="s">
        <v>103</v>
      </c>
      <c r="G59" s="4">
        <v>245</v>
      </c>
    </row>
    <row r="60" spans="2:7" x14ac:dyDescent="0.3">
      <c r="B60" s="4" t="s">
        <v>317</v>
      </c>
      <c r="C60" s="4" t="s">
        <v>375</v>
      </c>
      <c r="D60" s="4">
        <v>70</v>
      </c>
      <c r="E60" s="4" t="s">
        <v>386</v>
      </c>
      <c r="F60" s="4" t="s">
        <v>103</v>
      </c>
      <c r="G60" s="4">
        <v>250</v>
      </c>
    </row>
    <row r="61" spans="2:7" x14ac:dyDescent="0.3">
      <c r="B61" s="4" t="s">
        <v>87</v>
      </c>
      <c r="C61" s="4" t="s">
        <v>375</v>
      </c>
      <c r="D61" s="4">
        <v>100</v>
      </c>
      <c r="E61" s="4" t="s">
        <v>387</v>
      </c>
      <c r="F61" s="4" t="s">
        <v>103</v>
      </c>
      <c r="G61" s="4">
        <v>45</v>
      </c>
    </row>
    <row r="62" spans="2:7" x14ac:dyDescent="0.3">
      <c r="B62" s="4" t="s">
        <v>318</v>
      </c>
      <c r="C62" s="4" t="s">
        <v>375</v>
      </c>
      <c r="D62" s="4">
        <v>0</v>
      </c>
      <c r="E62" s="4" t="s">
        <v>388</v>
      </c>
      <c r="F62" s="4" t="s">
        <v>103</v>
      </c>
      <c r="G62" s="4">
        <v>130</v>
      </c>
    </row>
    <row r="63" spans="2:7" x14ac:dyDescent="0.3">
      <c r="B63" s="4" t="s">
        <v>319</v>
      </c>
      <c r="C63" s="4" t="s">
        <v>375</v>
      </c>
      <c r="D63" s="4">
        <v>70</v>
      </c>
      <c r="E63" s="4" t="s">
        <v>389</v>
      </c>
      <c r="F63" s="4" t="s">
        <v>96</v>
      </c>
      <c r="G63" s="4">
        <v>0</v>
      </c>
    </row>
    <row r="64" spans="2:7" x14ac:dyDescent="0.3">
      <c r="B64" s="4" t="s">
        <v>320</v>
      </c>
      <c r="C64" s="4" t="s">
        <v>375</v>
      </c>
      <c r="D64" s="4">
        <v>0</v>
      </c>
      <c r="E64" s="4" t="s">
        <v>390</v>
      </c>
      <c r="F64" s="4" t="s">
        <v>103</v>
      </c>
      <c r="G64" s="4">
        <v>40</v>
      </c>
    </row>
    <row r="65" spans="2:7" x14ac:dyDescent="0.3">
      <c r="B65" s="4" t="s">
        <v>321</v>
      </c>
      <c r="C65" s="4" t="s">
        <v>375</v>
      </c>
      <c r="D65" s="4">
        <v>100</v>
      </c>
      <c r="E65" s="4" t="s">
        <v>391</v>
      </c>
      <c r="F65" s="4" t="s">
        <v>96</v>
      </c>
      <c r="G65" s="4">
        <v>0</v>
      </c>
    </row>
    <row r="66" spans="2:7" ht="15" customHeight="1" thickBot="1" x14ac:dyDescent="0.35">
      <c r="B66" s="2" t="s">
        <v>322</v>
      </c>
      <c r="C66" s="2" t="s">
        <v>375</v>
      </c>
      <c r="D66" s="2">
        <v>100</v>
      </c>
      <c r="E66" s="2" t="s">
        <v>392</v>
      </c>
      <c r="F66" s="2" t="s">
        <v>103</v>
      </c>
      <c r="G66" s="2">
        <v>70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H38"/>
  <sheetViews>
    <sheetView showGridLines="0" workbookViewId="0">
      <selection activeCell="J9" sqref="J9"/>
    </sheetView>
  </sheetViews>
  <sheetFormatPr defaultRowHeight="14.4" x14ac:dyDescent="0.3"/>
  <cols>
    <col min="1" max="1" width="2.33203125" customWidth="1"/>
    <col min="2" max="2" width="6.21875" bestFit="1" customWidth="1"/>
    <col min="3" max="3" width="21.5546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" t="s">
        <v>243</v>
      </c>
    </row>
    <row r="2" spans="1:8" x14ac:dyDescent="0.3">
      <c r="A2" s="1" t="s">
        <v>372</v>
      </c>
    </row>
    <row r="3" spans="1:8" x14ac:dyDescent="0.3">
      <c r="A3" s="1" t="s">
        <v>373</v>
      </c>
    </row>
    <row r="6" spans="1:8" ht="15" customHeight="1" thickBot="1" x14ac:dyDescent="0.35">
      <c r="A6" t="s">
        <v>80</v>
      </c>
    </row>
    <row r="7" spans="1:8" x14ac:dyDescent="0.3">
      <c r="B7" s="5"/>
      <c r="C7" s="5"/>
      <c r="D7" s="5" t="s">
        <v>244</v>
      </c>
      <c r="E7" s="5" t="s">
        <v>245</v>
      </c>
      <c r="F7" s="5" t="s">
        <v>246</v>
      </c>
      <c r="G7" s="5" t="s">
        <v>247</v>
      </c>
      <c r="H7" s="5" t="s">
        <v>247</v>
      </c>
    </row>
    <row r="8" spans="1:8" ht="15" customHeight="1" thickBot="1" x14ac:dyDescent="0.35">
      <c r="B8" s="6" t="s">
        <v>44</v>
      </c>
      <c r="C8" s="6" t="s">
        <v>75</v>
      </c>
      <c r="D8" s="6" t="s">
        <v>248</v>
      </c>
      <c r="E8" s="6" t="s">
        <v>249</v>
      </c>
      <c r="F8" s="6" t="s">
        <v>250</v>
      </c>
      <c r="G8" s="6" t="s">
        <v>251</v>
      </c>
      <c r="H8" s="6" t="s">
        <v>252</v>
      </c>
    </row>
    <row r="9" spans="1:8" x14ac:dyDescent="0.3">
      <c r="B9" s="4" t="s">
        <v>309</v>
      </c>
      <c r="C9" s="4" t="s">
        <v>375</v>
      </c>
      <c r="D9" s="4">
        <v>70</v>
      </c>
      <c r="E9" s="4">
        <v>0</v>
      </c>
      <c r="F9" s="4">
        <v>1</v>
      </c>
      <c r="G9" s="4">
        <v>0</v>
      </c>
      <c r="H9" s="4">
        <v>0</v>
      </c>
    </row>
    <row r="10" spans="1:8" x14ac:dyDescent="0.3">
      <c r="B10" s="4" t="s">
        <v>312</v>
      </c>
      <c r="C10" s="4" t="s">
        <v>375</v>
      </c>
      <c r="D10" s="4">
        <v>100</v>
      </c>
      <c r="E10" s="4">
        <v>0</v>
      </c>
      <c r="F10" s="4">
        <v>1</v>
      </c>
      <c r="G10" s="4">
        <v>0</v>
      </c>
      <c r="H10" s="4">
        <v>0</v>
      </c>
    </row>
    <row r="11" spans="1:8" x14ac:dyDescent="0.3">
      <c r="B11" s="4" t="s">
        <v>313</v>
      </c>
      <c r="C11" s="4" t="s">
        <v>375</v>
      </c>
      <c r="D11" s="4">
        <v>70</v>
      </c>
      <c r="E11" s="4">
        <v>0</v>
      </c>
      <c r="F11" s="4">
        <v>0</v>
      </c>
      <c r="G11" s="4">
        <v>0</v>
      </c>
      <c r="H11" s="4">
        <v>1</v>
      </c>
    </row>
    <row r="12" spans="1:8" x14ac:dyDescent="0.3">
      <c r="B12" s="4" t="s">
        <v>314</v>
      </c>
      <c r="C12" s="4" t="s">
        <v>375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3">
      <c r="B13" s="4" t="s">
        <v>315</v>
      </c>
      <c r="C13" s="4" t="s">
        <v>375</v>
      </c>
      <c r="D13" s="4">
        <v>100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3">
      <c r="B14" s="4" t="s">
        <v>316</v>
      </c>
      <c r="C14" s="4" t="s">
        <v>375</v>
      </c>
      <c r="D14" s="4">
        <v>0</v>
      </c>
      <c r="E14" s="4">
        <v>0</v>
      </c>
      <c r="F14" s="4">
        <v>0</v>
      </c>
      <c r="G14" s="4">
        <v>0</v>
      </c>
      <c r="H14" s="4">
        <v>1E+30</v>
      </c>
    </row>
    <row r="15" spans="1:8" x14ac:dyDescent="0.3">
      <c r="B15" s="4" t="s">
        <v>234</v>
      </c>
      <c r="C15" s="4" t="s">
        <v>375</v>
      </c>
      <c r="D15" s="4">
        <v>100</v>
      </c>
      <c r="E15" s="4">
        <v>0</v>
      </c>
      <c r="F15" s="4">
        <v>0</v>
      </c>
      <c r="G15" s="4">
        <v>1E+30</v>
      </c>
      <c r="H15" s="4">
        <v>0</v>
      </c>
    </row>
    <row r="16" spans="1:8" x14ac:dyDescent="0.3">
      <c r="B16" s="4" t="s">
        <v>237</v>
      </c>
      <c r="C16" s="4" t="s">
        <v>375</v>
      </c>
      <c r="D16" s="4">
        <v>0</v>
      </c>
      <c r="E16" s="4">
        <v>0</v>
      </c>
      <c r="F16" s="4">
        <v>0</v>
      </c>
      <c r="G16" s="4">
        <v>0</v>
      </c>
      <c r="H16" s="4">
        <v>1E+30</v>
      </c>
    </row>
    <row r="17" spans="1:8" x14ac:dyDescent="0.3">
      <c r="B17" s="4" t="s">
        <v>240</v>
      </c>
      <c r="C17" s="4" t="s">
        <v>375</v>
      </c>
      <c r="D17" s="4">
        <v>0</v>
      </c>
      <c r="E17" s="4">
        <v>0</v>
      </c>
      <c r="F17" s="4">
        <v>0</v>
      </c>
      <c r="G17" s="4">
        <v>0</v>
      </c>
      <c r="H17" s="4">
        <v>1E+30</v>
      </c>
    </row>
    <row r="18" spans="1:8" x14ac:dyDescent="0.3">
      <c r="B18" s="4" t="s">
        <v>317</v>
      </c>
      <c r="C18" s="4" t="s">
        <v>375</v>
      </c>
      <c r="D18" s="4">
        <v>70</v>
      </c>
      <c r="E18" s="4">
        <v>0</v>
      </c>
      <c r="F18" s="4">
        <v>0</v>
      </c>
      <c r="G18" s="4">
        <v>0</v>
      </c>
      <c r="H18" s="4">
        <v>1</v>
      </c>
    </row>
    <row r="19" spans="1:8" x14ac:dyDescent="0.3">
      <c r="B19" s="4" t="s">
        <v>87</v>
      </c>
      <c r="C19" s="4" t="s">
        <v>375</v>
      </c>
      <c r="D19" s="4">
        <v>100</v>
      </c>
      <c r="E19" s="4">
        <v>0</v>
      </c>
      <c r="F19" s="4">
        <v>0</v>
      </c>
      <c r="G19" s="4">
        <v>1E+30</v>
      </c>
      <c r="H19" s="4">
        <v>0</v>
      </c>
    </row>
    <row r="20" spans="1:8" x14ac:dyDescent="0.3">
      <c r="B20" s="4" t="s">
        <v>318</v>
      </c>
      <c r="C20" s="4" t="s">
        <v>375</v>
      </c>
      <c r="D20" s="4">
        <v>0</v>
      </c>
      <c r="E20" s="4">
        <v>0</v>
      </c>
      <c r="F20" s="4">
        <v>0</v>
      </c>
      <c r="G20" s="4">
        <v>0</v>
      </c>
      <c r="H20" s="4">
        <v>1E+30</v>
      </c>
    </row>
    <row r="21" spans="1:8" x14ac:dyDescent="0.3">
      <c r="B21" s="4" t="s">
        <v>319</v>
      </c>
      <c r="C21" s="4" t="s">
        <v>375</v>
      </c>
      <c r="D21" s="4">
        <v>70</v>
      </c>
      <c r="E21" s="4">
        <v>1</v>
      </c>
      <c r="F21" s="4">
        <v>0</v>
      </c>
      <c r="G21" s="4">
        <v>1E+30</v>
      </c>
      <c r="H21" s="4">
        <v>1</v>
      </c>
    </row>
    <row r="22" spans="1:8" x14ac:dyDescent="0.3">
      <c r="B22" s="4" t="s">
        <v>320</v>
      </c>
      <c r="C22" s="4" t="s">
        <v>375</v>
      </c>
      <c r="D22" s="4">
        <v>0</v>
      </c>
      <c r="E22" s="4">
        <v>0</v>
      </c>
      <c r="F22" s="4">
        <v>0</v>
      </c>
      <c r="G22" s="4">
        <v>0</v>
      </c>
      <c r="H22" s="4">
        <v>1E+30</v>
      </c>
    </row>
    <row r="23" spans="1:8" x14ac:dyDescent="0.3">
      <c r="B23" s="4" t="s">
        <v>321</v>
      </c>
      <c r="C23" s="4" t="s">
        <v>375</v>
      </c>
      <c r="D23" s="4">
        <v>100</v>
      </c>
      <c r="E23" s="4">
        <v>1</v>
      </c>
      <c r="F23" s="4">
        <v>0</v>
      </c>
      <c r="G23" s="4">
        <v>1E+30</v>
      </c>
      <c r="H23" s="4">
        <v>1</v>
      </c>
    </row>
    <row r="24" spans="1:8" ht="15" customHeight="1" thickBot="1" x14ac:dyDescent="0.35">
      <c r="B24" s="2" t="s">
        <v>322</v>
      </c>
      <c r="C24" s="2" t="s">
        <v>375</v>
      </c>
      <c r="D24" s="2">
        <v>100</v>
      </c>
      <c r="E24" s="2">
        <v>0</v>
      </c>
      <c r="F24" s="2">
        <v>0</v>
      </c>
      <c r="G24" s="2">
        <v>1E+30</v>
      </c>
      <c r="H24" s="2">
        <v>1</v>
      </c>
    </row>
    <row r="26" spans="1:8" ht="15" customHeight="1" thickBot="1" x14ac:dyDescent="0.35">
      <c r="A26" t="s">
        <v>88</v>
      </c>
    </row>
    <row r="27" spans="1:8" x14ac:dyDescent="0.3">
      <c r="B27" s="5"/>
      <c r="C27" s="5"/>
      <c r="D27" s="5" t="s">
        <v>244</v>
      </c>
      <c r="E27" s="5" t="s">
        <v>253</v>
      </c>
      <c r="F27" s="5" t="s">
        <v>254</v>
      </c>
      <c r="G27" s="5" t="s">
        <v>247</v>
      </c>
      <c r="H27" s="5" t="s">
        <v>247</v>
      </c>
    </row>
    <row r="28" spans="1:8" ht="15" customHeight="1" thickBot="1" x14ac:dyDescent="0.35">
      <c r="B28" s="6" t="s">
        <v>44</v>
      </c>
      <c r="C28" s="6" t="s">
        <v>75</v>
      </c>
      <c r="D28" s="6" t="s">
        <v>248</v>
      </c>
      <c r="E28" s="6" t="s">
        <v>255</v>
      </c>
      <c r="F28" s="6" t="s">
        <v>256</v>
      </c>
      <c r="G28" s="6" t="s">
        <v>251</v>
      </c>
      <c r="H28" s="6" t="s">
        <v>252</v>
      </c>
    </row>
    <row r="29" spans="1:8" x14ac:dyDescent="0.3">
      <c r="B29" s="4" t="s">
        <v>97</v>
      </c>
      <c r="C29" s="4" t="s">
        <v>376</v>
      </c>
      <c r="D29" s="4">
        <v>0</v>
      </c>
      <c r="E29" s="4">
        <v>1</v>
      </c>
      <c r="F29" s="4">
        <v>0</v>
      </c>
      <c r="G29" s="4">
        <v>230</v>
      </c>
      <c r="H29" s="4">
        <v>70</v>
      </c>
    </row>
    <row r="30" spans="1:8" x14ac:dyDescent="0.3">
      <c r="B30" s="4" t="s">
        <v>100</v>
      </c>
      <c r="C30" s="4" t="s">
        <v>376</v>
      </c>
      <c r="D30" s="4">
        <v>0</v>
      </c>
      <c r="E30" s="4">
        <v>1</v>
      </c>
      <c r="F30" s="4">
        <v>0</v>
      </c>
      <c r="G30" s="4">
        <v>25</v>
      </c>
      <c r="H30" s="4">
        <v>100</v>
      </c>
    </row>
    <row r="31" spans="1:8" x14ac:dyDescent="0.3">
      <c r="B31" s="4" t="s">
        <v>104</v>
      </c>
      <c r="C31" s="4" t="s">
        <v>376</v>
      </c>
      <c r="D31" s="4">
        <v>0</v>
      </c>
      <c r="E31" s="4">
        <v>1</v>
      </c>
      <c r="F31" s="4">
        <v>0</v>
      </c>
      <c r="G31" s="4">
        <v>25</v>
      </c>
      <c r="H31" s="4">
        <v>100</v>
      </c>
    </row>
    <row r="32" spans="1:8" x14ac:dyDescent="0.3">
      <c r="B32" s="4" t="s">
        <v>107</v>
      </c>
      <c r="C32" s="4" t="s">
        <v>376</v>
      </c>
      <c r="D32" s="4">
        <v>0</v>
      </c>
      <c r="E32" s="4">
        <v>1</v>
      </c>
      <c r="F32" s="4">
        <v>0</v>
      </c>
      <c r="G32" s="4">
        <v>160</v>
      </c>
      <c r="H32" s="4">
        <v>0</v>
      </c>
    </row>
    <row r="33" spans="2:8" x14ac:dyDescent="0.3">
      <c r="B33" s="4" t="s">
        <v>110</v>
      </c>
      <c r="C33" s="4" t="s">
        <v>376</v>
      </c>
      <c r="D33" s="4">
        <v>0</v>
      </c>
      <c r="E33" s="4">
        <v>1</v>
      </c>
      <c r="F33" s="4">
        <v>0</v>
      </c>
      <c r="G33" s="4">
        <v>230</v>
      </c>
      <c r="H33" s="4">
        <v>70</v>
      </c>
    </row>
    <row r="34" spans="2:8" x14ac:dyDescent="0.3">
      <c r="B34" s="4" t="s">
        <v>113</v>
      </c>
      <c r="C34" s="4" t="s">
        <v>376</v>
      </c>
      <c r="D34" s="4">
        <v>0</v>
      </c>
      <c r="E34" s="4">
        <v>1</v>
      </c>
      <c r="F34" s="4">
        <v>0</v>
      </c>
      <c r="G34" s="4">
        <v>25</v>
      </c>
      <c r="H34" s="4">
        <v>100</v>
      </c>
    </row>
    <row r="35" spans="2:8" x14ac:dyDescent="0.3">
      <c r="B35" s="4" t="s">
        <v>116</v>
      </c>
      <c r="C35" s="4" t="s">
        <v>376</v>
      </c>
      <c r="D35" s="4">
        <v>0</v>
      </c>
      <c r="E35" s="4">
        <v>1</v>
      </c>
      <c r="F35" s="4">
        <v>0</v>
      </c>
      <c r="G35" s="4">
        <v>230</v>
      </c>
      <c r="H35" s="4">
        <v>70</v>
      </c>
    </row>
    <row r="36" spans="2:8" x14ac:dyDescent="0.3">
      <c r="B36" s="4" t="s">
        <v>119</v>
      </c>
      <c r="C36" s="4" t="s">
        <v>376</v>
      </c>
      <c r="D36" s="4">
        <v>0</v>
      </c>
      <c r="E36" s="4">
        <v>1</v>
      </c>
      <c r="F36" s="4">
        <v>0</v>
      </c>
      <c r="G36" s="4">
        <v>130</v>
      </c>
      <c r="H36" s="4">
        <v>0</v>
      </c>
    </row>
    <row r="37" spans="2:8" x14ac:dyDescent="0.3">
      <c r="B37" s="4" t="s">
        <v>332</v>
      </c>
      <c r="C37" s="4" t="s">
        <v>376</v>
      </c>
      <c r="D37" s="4">
        <v>0</v>
      </c>
      <c r="E37" s="4">
        <v>1</v>
      </c>
      <c r="F37" s="4">
        <v>0</v>
      </c>
      <c r="G37" s="4">
        <v>25</v>
      </c>
      <c r="H37" s="4">
        <v>100</v>
      </c>
    </row>
    <row r="38" spans="2:8" ht="15" customHeight="1" thickBot="1" x14ac:dyDescent="0.35">
      <c r="B38" s="2" t="s">
        <v>334</v>
      </c>
      <c r="C38" s="2" t="s">
        <v>376</v>
      </c>
      <c r="D38" s="2">
        <v>0</v>
      </c>
      <c r="E38" s="2">
        <v>0</v>
      </c>
      <c r="F38" s="2">
        <v>0</v>
      </c>
      <c r="G38" s="2">
        <v>100</v>
      </c>
      <c r="H38" s="2">
        <v>70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J39"/>
  <sheetViews>
    <sheetView tabSelected="1" zoomScale="82" workbookViewId="0">
      <selection activeCell="E22" sqref="E22"/>
    </sheetView>
  </sheetViews>
  <sheetFormatPr defaultRowHeight="15" x14ac:dyDescent="0.3"/>
  <cols>
    <col min="1" max="1" width="14.5546875" style="8" bestFit="1" customWidth="1"/>
    <col min="2" max="2" width="14" style="8" customWidth="1"/>
    <col min="3" max="3" width="75" style="8" customWidth="1"/>
    <col min="4" max="4" width="21.5546875" style="8" bestFit="1" customWidth="1"/>
    <col min="5" max="9" width="8.88671875" style="8" customWidth="1"/>
    <col min="10" max="10" width="15.88671875" style="8" bestFit="1" customWidth="1"/>
    <col min="11" max="11" width="8.88671875" style="8" customWidth="1"/>
    <col min="12" max="16384" width="8.88671875" style="8"/>
  </cols>
  <sheetData>
    <row r="1" spans="1:10" ht="30" customHeight="1" x14ac:dyDescent="0.3">
      <c r="A1" s="7" t="s">
        <v>393</v>
      </c>
      <c r="B1" s="7" t="s">
        <v>394</v>
      </c>
      <c r="C1" s="7" t="s">
        <v>259</v>
      </c>
      <c r="D1" s="7" t="s">
        <v>375</v>
      </c>
      <c r="F1" s="7" t="s">
        <v>359</v>
      </c>
      <c r="G1" s="7" t="s">
        <v>376</v>
      </c>
      <c r="H1" s="7" t="s">
        <v>360</v>
      </c>
      <c r="J1" s="72" t="s">
        <v>374</v>
      </c>
    </row>
    <row r="2" spans="1:10" x14ac:dyDescent="0.3">
      <c r="A2" s="80">
        <v>0</v>
      </c>
      <c r="B2" s="80">
        <v>1</v>
      </c>
      <c r="C2" s="12">
        <v>300</v>
      </c>
      <c r="D2" s="78">
        <v>70</v>
      </c>
      <c r="F2" s="12">
        <v>1</v>
      </c>
      <c r="G2" s="12">
        <f t="shared" ref="G2:G11" si="0">SUMIF($B$2:$B$17, F2, $D$2:$D$17) - SUMIF($A$2:$A$17, F2, $D$2:$D$17)</f>
        <v>0</v>
      </c>
      <c r="H2" s="12">
        <v>0</v>
      </c>
      <c r="J2" s="72">
        <f>SUMIF(A2:A17,0,D2:D17)</f>
        <v>170</v>
      </c>
    </row>
    <row r="3" spans="1:10" x14ac:dyDescent="0.3">
      <c r="A3" s="80">
        <v>0</v>
      </c>
      <c r="B3" s="80">
        <v>2</v>
      </c>
      <c r="C3" s="17">
        <v>125</v>
      </c>
      <c r="D3" s="78">
        <v>100</v>
      </c>
      <c r="F3" s="17">
        <v>2</v>
      </c>
      <c r="G3" s="17">
        <f t="shared" si="0"/>
        <v>0</v>
      </c>
      <c r="H3" s="17">
        <v>0</v>
      </c>
    </row>
    <row r="4" spans="1:10" x14ac:dyDescent="0.3">
      <c r="A4" s="80">
        <v>1</v>
      </c>
      <c r="B4" s="80">
        <v>5</v>
      </c>
      <c r="C4" s="12">
        <v>460</v>
      </c>
      <c r="D4" s="78">
        <v>70</v>
      </c>
      <c r="F4" s="12">
        <v>3</v>
      </c>
      <c r="G4" s="12">
        <f t="shared" si="0"/>
        <v>0</v>
      </c>
      <c r="H4" s="12">
        <v>0</v>
      </c>
    </row>
    <row r="5" spans="1:10" x14ac:dyDescent="0.3">
      <c r="A5" s="17">
        <v>1</v>
      </c>
      <c r="B5" s="17">
        <v>4</v>
      </c>
      <c r="C5" s="17">
        <v>160</v>
      </c>
      <c r="D5" s="16">
        <v>0</v>
      </c>
      <c r="F5" s="17">
        <v>4</v>
      </c>
      <c r="G5" s="17">
        <f t="shared" si="0"/>
        <v>0</v>
      </c>
      <c r="H5" s="17">
        <v>0</v>
      </c>
    </row>
    <row r="6" spans="1:10" x14ac:dyDescent="0.3">
      <c r="A6" s="80">
        <v>2</v>
      </c>
      <c r="B6" s="80">
        <v>3</v>
      </c>
      <c r="C6" s="12">
        <v>480</v>
      </c>
      <c r="D6" s="78">
        <v>100</v>
      </c>
      <c r="F6" s="12">
        <v>5</v>
      </c>
      <c r="G6" s="12">
        <f t="shared" si="0"/>
        <v>0</v>
      </c>
      <c r="H6" s="12">
        <v>0</v>
      </c>
    </row>
    <row r="7" spans="1:10" x14ac:dyDescent="0.3">
      <c r="A7" s="17">
        <v>3</v>
      </c>
      <c r="B7" s="17">
        <v>4</v>
      </c>
      <c r="C7" s="17">
        <v>245</v>
      </c>
      <c r="D7" s="16">
        <v>0</v>
      </c>
      <c r="F7" s="17">
        <v>6</v>
      </c>
      <c r="G7" s="17">
        <f t="shared" si="0"/>
        <v>0</v>
      </c>
      <c r="H7" s="17">
        <v>0</v>
      </c>
    </row>
    <row r="8" spans="1:10" x14ac:dyDescent="0.3">
      <c r="A8" s="80">
        <v>3</v>
      </c>
      <c r="B8" s="80">
        <v>6</v>
      </c>
      <c r="C8" s="12">
        <v>480</v>
      </c>
      <c r="D8" s="78">
        <v>100</v>
      </c>
      <c r="F8" s="12">
        <v>7</v>
      </c>
      <c r="G8" s="12">
        <f t="shared" si="0"/>
        <v>0</v>
      </c>
      <c r="H8" s="12">
        <v>0</v>
      </c>
    </row>
    <row r="9" spans="1:10" x14ac:dyDescent="0.3">
      <c r="A9" s="17">
        <v>4</v>
      </c>
      <c r="B9" s="17">
        <v>1</v>
      </c>
      <c r="C9" s="17">
        <v>160</v>
      </c>
      <c r="D9" s="16">
        <v>0</v>
      </c>
      <c r="F9" s="17">
        <v>8</v>
      </c>
      <c r="G9" s="17">
        <f t="shared" si="0"/>
        <v>0</v>
      </c>
      <c r="H9" s="17">
        <v>0</v>
      </c>
    </row>
    <row r="10" spans="1:10" x14ac:dyDescent="0.3">
      <c r="A10" s="12">
        <v>4</v>
      </c>
      <c r="B10" s="12">
        <v>3</v>
      </c>
      <c r="C10" s="12">
        <v>245</v>
      </c>
      <c r="D10" s="11">
        <v>0</v>
      </c>
      <c r="F10" s="12">
        <v>9</v>
      </c>
      <c r="G10" s="12">
        <f t="shared" si="0"/>
        <v>0</v>
      </c>
      <c r="H10" s="12">
        <v>0</v>
      </c>
    </row>
    <row r="11" spans="1:10" x14ac:dyDescent="0.3">
      <c r="A11" s="80">
        <v>5</v>
      </c>
      <c r="B11" s="80">
        <v>7</v>
      </c>
      <c r="C11" s="17">
        <v>320</v>
      </c>
      <c r="D11" s="78">
        <v>70</v>
      </c>
      <c r="F11" s="17">
        <v>10</v>
      </c>
      <c r="G11" s="17">
        <f t="shared" si="0"/>
        <v>0</v>
      </c>
      <c r="H11" s="17">
        <v>0</v>
      </c>
    </row>
    <row r="12" spans="1:10" x14ac:dyDescent="0.3">
      <c r="A12" s="80">
        <v>6</v>
      </c>
      <c r="B12" s="80">
        <v>9</v>
      </c>
      <c r="C12" s="12">
        <v>145</v>
      </c>
      <c r="D12" s="78">
        <v>100</v>
      </c>
    </row>
    <row r="13" spans="1:10" x14ac:dyDescent="0.3">
      <c r="A13" s="17">
        <v>7</v>
      </c>
      <c r="B13" s="17">
        <v>8</v>
      </c>
      <c r="C13" s="17">
        <v>130</v>
      </c>
      <c r="D13" s="16">
        <v>0</v>
      </c>
      <c r="F13" s="8" t="s">
        <v>395</v>
      </c>
    </row>
    <row r="14" spans="1:10" x14ac:dyDescent="0.3">
      <c r="A14" s="71">
        <v>7</v>
      </c>
      <c r="B14" s="71">
        <v>11</v>
      </c>
      <c r="C14" s="71">
        <v>70</v>
      </c>
      <c r="D14" s="79">
        <v>70</v>
      </c>
      <c r="F14" s="8" t="s">
        <v>396</v>
      </c>
    </row>
    <row r="15" spans="1:10" x14ac:dyDescent="0.3">
      <c r="A15" s="17">
        <v>8</v>
      </c>
      <c r="B15" s="17">
        <v>9</v>
      </c>
      <c r="C15" s="17">
        <v>40</v>
      </c>
      <c r="D15" s="16">
        <v>0</v>
      </c>
    </row>
    <row r="16" spans="1:10" x14ac:dyDescent="0.3">
      <c r="A16" s="71">
        <v>9</v>
      </c>
      <c r="B16" s="71">
        <v>10</v>
      </c>
      <c r="C16" s="71">
        <v>100</v>
      </c>
      <c r="D16" s="79">
        <v>100</v>
      </c>
      <c r="F16" s="8" t="s">
        <v>397</v>
      </c>
    </row>
    <row r="17" spans="1:6" x14ac:dyDescent="0.3">
      <c r="A17" s="80">
        <v>10</v>
      </c>
      <c r="B17" s="80">
        <v>11</v>
      </c>
      <c r="C17" s="17">
        <v>170</v>
      </c>
      <c r="D17" s="78">
        <v>100</v>
      </c>
      <c r="F17" s="8" t="s">
        <v>398</v>
      </c>
    </row>
    <row r="20" spans="1:6" ht="15.6" customHeight="1" x14ac:dyDescent="0.3">
      <c r="A20" s="102" t="s">
        <v>399</v>
      </c>
      <c r="B20" s="103"/>
      <c r="C20" s="104"/>
    </row>
    <row r="21" spans="1:6" x14ac:dyDescent="0.3">
      <c r="A21" s="48" t="s">
        <v>43</v>
      </c>
      <c r="B21" s="48" t="s">
        <v>44</v>
      </c>
      <c r="C21" s="49" t="s">
        <v>45</v>
      </c>
    </row>
    <row r="22" spans="1:6" x14ac:dyDescent="0.3">
      <c r="A22" s="50">
        <v>1</v>
      </c>
      <c r="B22" s="51" t="s">
        <v>362</v>
      </c>
      <c r="C22" s="52" t="s">
        <v>400</v>
      </c>
    </row>
    <row r="23" spans="1:6" x14ac:dyDescent="0.3">
      <c r="A23" s="53">
        <v>2</v>
      </c>
      <c r="B23" s="54" t="s">
        <v>364</v>
      </c>
      <c r="C23" s="55" t="s">
        <v>401</v>
      </c>
    </row>
    <row r="24" spans="1:6" x14ac:dyDescent="0.3">
      <c r="A24" s="50">
        <v>3</v>
      </c>
      <c r="B24" s="51" t="s">
        <v>368</v>
      </c>
      <c r="C24" s="52" t="s">
        <v>402</v>
      </c>
    </row>
    <row r="25" spans="1:6" x14ac:dyDescent="0.3">
      <c r="A25" s="53">
        <v>4</v>
      </c>
      <c r="B25" s="54" t="s">
        <v>403</v>
      </c>
      <c r="C25" s="55" t="s">
        <v>404</v>
      </c>
    </row>
    <row r="26" spans="1:6" x14ac:dyDescent="0.3">
      <c r="A26" s="50">
        <v>5</v>
      </c>
      <c r="B26" s="51" t="s">
        <v>405</v>
      </c>
      <c r="C26" s="52" t="s">
        <v>406</v>
      </c>
    </row>
    <row r="27" spans="1:6" x14ac:dyDescent="0.3">
      <c r="A27" s="53">
        <v>6</v>
      </c>
      <c r="B27" s="54" t="s">
        <v>407</v>
      </c>
      <c r="C27" s="55" t="s">
        <v>408</v>
      </c>
    </row>
    <row r="28" spans="1:6" x14ac:dyDescent="0.3">
      <c r="A28" s="50">
        <v>7</v>
      </c>
      <c r="B28" s="51" t="s">
        <v>155</v>
      </c>
      <c r="C28" s="52" t="s">
        <v>409</v>
      </c>
    </row>
    <row r="31" spans="1:6" ht="15.6" x14ac:dyDescent="0.3">
      <c r="A31" s="100"/>
      <c r="B31" s="101"/>
      <c r="C31" s="101"/>
    </row>
    <row r="32" spans="1:6" x14ac:dyDescent="0.3">
      <c r="A32" s="84"/>
      <c r="B32" s="84"/>
      <c r="C32" s="85"/>
    </row>
    <row r="33" spans="1:3" x14ac:dyDescent="0.3">
      <c r="A33" s="86"/>
      <c r="B33" s="87"/>
      <c r="C33" s="88"/>
    </row>
    <row r="34" spans="1:3" x14ac:dyDescent="0.3">
      <c r="A34" s="86"/>
      <c r="B34" s="87"/>
      <c r="C34" s="88"/>
    </row>
    <row r="35" spans="1:3" x14ac:dyDescent="0.3">
      <c r="A35" s="86"/>
      <c r="B35" s="87"/>
      <c r="C35" s="88"/>
    </row>
    <row r="36" spans="1:3" x14ac:dyDescent="0.3">
      <c r="A36" s="86"/>
      <c r="B36" s="87"/>
      <c r="C36" s="88"/>
    </row>
    <row r="37" spans="1:3" x14ac:dyDescent="0.3">
      <c r="A37" s="86"/>
      <c r="B37" s="87"/>
      <c r="C37" s="88"/>
    </row>
    <row r="38" spans="1:3" x14ac:dyDescent="0.3">
      <c r="A38" s="86"/>
      <c r="B38" s="87"/>
      <c r="C38" s="88"/>
    </row>
    <row r="39" spans="1:3" x14ac:dyDescent="0.3">
      <c r="A39" s="86"/>
      <c r="B39" s="87"/>
      <c r="C39" s="88"/>
    </row>
  </sheetData>
  <mergeCells count="2">
    <mergeCell ref="A20:C20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Answer Report P1</vt:lpstr>
      <vt:lpstr>Answer Report P2</vt:lpstr>
      <vt:lpstr>Answer Report P3</vt:lpstr>
      <vt:lpstr>Answer Report P4</vt:lpstr>
      <vt:lpstr>Answer Report P5</vt:lpstr>
      <vt:lpstr>Answer Report P6</vt:lpstr>
      <vt:lpstr>Answer Report P7</vt:lpstr>
      <vt:lpstr>Answer Report P8</vt:lpstr>
      <vt:lpstr>P1 Q1</vt:lpstr>
      <vt:lpstr>Answer Report 1</vt:lpstr>
      <vt:lpstr>Answer Report 2</vt:lpstr>
      <vt:lpstr>Answer Report 3</vt:lpstr>
      <vt:lpstr>Answer Report 4</vt:lpstr>
      <vt:lpstr>Answer Report 5</vt:lpstr>
      <vt:lpstr>Answer Report 6</vt:lpstr>
      <vt:lpstr>Answer Report 7</vt:lpstr>
      <vt:lpstr>Answer Report 8</vt:lpstr>
      <vt:lpstr>P1 Q4</vt:lpstr>
      <vt:lpstr>Answer P2 Q1</vt:lpstr>
      <vt:lpstr>Sensitivity P2 Q1</vt:lpstr>
      <vt:lpstr>P2 Q1</vt:lpstr>
      <vt:lpstr>Answer P2 Q2</vt:lpstr>
      <vt:lpstr>Sensitivity P2 Q2</vt:lpstr>
      <vt:lpstr>Feasibility Report 1</vt:lpstr>
      <vt:lpstr>P2 Q2</vt:lpstr>
      <vt:lpstr>Answer P2 Q3</vt:lpstr>
      <vt:lpstr>Sensitivity P2 Q3</vt:lpstr>
      <vt:lpstr>P2 Q3</vt:lpstr>
      <vt:lpstr>Answer P3 Q1</vt:lpstr>
      <vt:lpstr>P3 Q1</vt:lpstr>
      <vt:lpstr>Answer P3 Q2</vt:lpstr>
      <vt:lpstr>Sensitivity P3 Q2</vt:lpstr>
      <vt:lpstr>P3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BADIGER</dc:creator>
  <cp:lastModifiedBy>PARTH BADIGER</cp:lastModifiedBy>
  <dcterms:created xsi:type="dcterms:W3CDTF">2026-03-12T15:10:14Z</dcterms:created>
  <dcterms:modified xsi:type="dcterms:W3CDTF">2026-03-28T16:54:44Z</dcterms:modified>
</cp:coreProperties>
</file>